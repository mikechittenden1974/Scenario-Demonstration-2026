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Data" sheetId="1" state="visible" r:id="rId1"/>
    <sheet xmlns:r="http://schemas.openxmlformats.org/officeDocument/2006/relationships" name="RiderSummary" sheetId="2" state="visible" r:id="rId2"/>
    <sheet xmlns:r="http://schemas.openxmlformats.org/officeDocument/2006/relationships" name="ScatterData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'DeliveryData'!$A$2:$J$77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2"/>
    </font>
    <font>
      <name val="Arial"/>
      <b val="1"/>
      <sz val="10"/>
    </font>
    <font>
      <name val="Arial"/>
      <b val="1"/>
      <color rgb="00FFFFFF"/>
      <sz val="14"/>
    </font>
    <font>
      <name val="Arial"/>
      <i val="1"/>
      <color rgb="002E4057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5" fillId="0" borderId="1" pivotButton="0" quotePrefix="0" xfId="0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7" customWidth="1" min="7" max="7"/>
    <col width="12" customWidth="1" min="8" max="8"/>
    <col width="16" customWidth="1" min="9" max="9"/>
    <col width="16" customWidth="1" min="10" max="10"/>
    <col width="14" customWidth="1" min="11" max="11"/>
  </cols>
  <sheetData>
    <row r="1" ht="18" customHeight="1">
      <c r="A1" s="1" t="inlineStr">
        <is>
          <t>Workbook 3 Start — Dashboard, Trendline and Interpretation. Your Pivot Tables from Workbook 2 are ready.</t>
        </is>
      </c>
    </row>
    <row r="2">
      <c r="A2" s="2" t="inlineStr">
        <is>
          <t>DeliveryID</t>
        </is>
      </c>
      <c r="B2" s="2" t="inlineStr">
        <is>
          <t>DeliveryDate</t>
        </is>
      </c>
      <c r="C2" s="2" t="inlineStr">
        <is>
          <t>DragonRider</t>
        </is>
      </c>
      <c r="D2" s="2" t="inlineStr">
        <is>
          <t>Route</t>
        </is>
      </c>
      <c r="E2" s="2" t="inlineStr">
        <is>
          <t>PackageType</t>
        </is>
      </c>
      <c r="F2" s="2" t="inlineStr">
        <is>
          <t>DistanceKm</t>
        </is>
      </c>
      <c r="G2" s="2" t="inlineStr">
        <is>
          <t>DeliveryTimeHrs</t>
        </is>
      </c>
      <c r="H2" s="2" t="inlineStr">
        <is>
          <t>RevenueGP</t>
        </is>
      </c>
      <c r="I2" s="2" t="inlineStr">
        <is>
          <t>CustomerRating</t>
        </is>
      </c>
      <c r="J2" s="2" t="inlineStr">
        <is>
          <t>DeliveryStatus</t>
        </is>
      </c>
      <c r="K2" s="3" t="inlineStr">
        <is>
          <t>ReviewFlag</t>
        </is>
      </c>
    </row>
    <row r="3" ht="18" customHeight="1">
      <c r="A3" s="4" t="inlineStr">
        <is>
          <t>FE-001</t>
        </is>
      </c>
      <c r="B3" s="5" t="n">
        <v>45665</v>
      </c>
      <c r="C3" s="4" t="inlineStr">
        <is>
          <t>Hotfoot Hana</t>
        </is>
      </c>
      <c r="D3" s="4" t="inlineStr">
        <is>
          <t>Northern Peaks</t>
        </is>
      </c>
      <c r="E3" s="4" t="inlineStr">
        <is>
          <t>Express</t>
        </is>
      </c>
      <c r="F3" s="6" t="n">
        <v>380</v>
      </c>
      <c r="G3" s="6" t="n">
        <v>14</v>
      </c>
      <c r="H3" s="6" t="n">
        <v>410</v>
      </c>
      <c r="I3" s="6" t="n">
        <v>5</v>
      </c>
      <c r="J3" s="4" t="inlineStr">
        <is>
          <t>Delivered</t>
        </is>
      </c>
      <c r="K3" s="7">
        <f>IF(H3&lt;150,"Review","OK")</f>
        <v/>
      </c>
    </row>
    <row r="4" ht="18" customHeight="1">
      <c r="A4" s="8" t="inlineStr">
        <is>
          <t>FE-002</t>
        </is>
      </c>
      <c r="B4" s="9" t="n">
        <v>45671</v>
      </c>
      <c r="C4" s="8" t="inlineStr">
        <is>
          <t>Brimstone Bill</t>
        </is>
      </c>
      <c r="D4" s="8" t="inlineStr">
        <is>
          <t>Misty Vale</t>
        </is>
      </c>
      <c r="E4" s="8" t="inlineStr">
        <is>
          <t>Standard</t>
        </is>
      </c>
      <c r="F4" s="10" t="n">
        <v>120</v>
      </c>
      <c r="G4" s="10" t="n">
        <v>8</v>
      </c>
      <c r="H4" s="10" t="n">
        <v>185</v>
      </c>
      <c r="I4" s="10" t="n">
        <v>4</v>
      </c>
      <c r="J4" s="8" t="inlineStr">
        <is>
          <t>Delivered</t>
        </is>
      </c>
      <c r="K4" s="11">
        <f>IF(H4&lt;150,"Review","OK")</f>
        <v/>
      </c>
    </row>
    <row r="5" ht="18" customHeight="1">
      <c r="A5" s="4" t="inlineStr">
        <is>
          <t>FE-003</t>
        </is>
      </c>
      <c r="B5" s="5" t="n">
        <v>45676</v>
      </c>
      <c r="C5" s="4" t="inlineStr">
        <is>
          <t>Puff McGuffin</t>
        </is>
      </c>
      <c r="D5" s="4" t="inlineStr">
        <is>
          <t>Crystal Coast</t>
        </is>
      </c>
      <c r="E5" s="4" t="inlineStr">
        <is>
          <t>Standard</t>
        </is>
      </c>
      <c r="F5" s="6" t="n">
        <v>80</v>
      </c>
      <c r="G5" s="6" t="n">
        <v>10</v>
      </c>
      <c r="H5" s="6" t="n">
        <v>115</v>
      </c>
      <c r="I5" s="6" t="n">
        <v>2</v>
      </c>
      <c r="J5" s="4" t="inlineStr">
        <is>
          <t>Delayed</t>
        </is>
      </c>
      <c r="K5" s="7">
        <f>IF(H5&lt;150,"Review","OK")</f>
        <v/>
      </c>
    </row>
    <row r="6" ht="18" customHeight="1">
      <c r="A6" s="8" t="inlineStr">
        <is>
          <t>FE-004</t>
        </is>
      </c>
      <c r="B6" s="9" t="n">
        <v>45680</v>
      </c>
      <c r="C6" s="8" t="inlineStr">
        <is>
          <t>Scorch the Magnificent</t>
        </is>
      </c>
      <c r="D6" s="8" t="inlineStr">
        <is>
          <t>Ironforge Pass</t>
        </is>
      </c>
      <c r="E6" s="8" t="inlineStr">
        <is>
          <t>Fragile</t>
        </is>
      </c>
      <c r="F6" s="10" t="n">
        <v>200</v>
      </c>
      <c r="G6" s="10" t="n">
        <v>12</v>
      </c>
      <c r="H6" s="10" t="n">
        <v>260</v>
      </c>
      <c r="I6" s="10" t="n">
        <v>4</v>
      </c>
      <c r="J6" s="8" t="inlineStr">
        <is>
          <t>Delivered</t>
        </is>
      </c>
      <c r="K6" s="11">
        <f>IF(H6&lt;150,"Review","OK")</f>
        <v/>
      </c>
    </row>
    <row r="7" ht="18" customHeight="1">
      <c r="A7" s="4" t="inlineStr">
        <is>
          <t>FE-005</t>
        </is>
      </c>
      <c r="B7" s="5" t="n">
        <v>45686</v>
      </c>
      <c r="C7" s="4" t="inlineStr">
        <is>
          <t>Cinderella Vex</t>
        </is>
      </c>
      <c r="D7" s="4" t="inlineStr">
        <is>
          <t>Sunken Swamp</t>
        </is>
      </c>
      <c r="E7" s="4" t="inlineStr">
        <is>
          <t>Oversized</t>
        </is>
      </c>
      <c r="F7" s="6" t="n">
        <v>290</v>
      </c>
      <c r="G7" s="6" t="n">
        <v>20</v>
      </c>
      <c r="H7" s="6" t="n">
        <v>350</v>
      </c>
      <c r="I7" s="6" t="n">
        <v>3</v>
      </c>
      <c r="J7" s="4" t="inlineStr">
        <is>
          <t>Delivered</t>
        </is>
      </c>
      <c r="K7" s="7">
        <f>IF(H7&lt;150,"Review","OK")</f>
        <v/>
      </c>
    </row>
    <row r="8" ht="18" customHeight="1">
      <c r="A8" s="8" t="inlineStr">
        <is>
          <t>FE-006</t>
        </is>
      </c>
      <c r="B8" s="9" t="n">
        <v>45693</v>
      </c>
      <c r="C8" s="8" t="inlineStr">
        <is>
          <t>Hotfoot Hana</t>
        </is>
      </c>
      <c r="D8" s="8" t="inlineStr">
        <is>
          <t>Ironforge Pass</t>
        </is>
      </c>
      <c r="E8" s="8" t="inlineStr">
        <is>
          <t>Express</t>
        </is>
      </c>
      <c r="F8" s="10" t="n">
        <v>420</v>
      </c>
      <c r="G8" s="10" t="n">
        <v>15</v>
      </c>
      <c r="H8" s="10" t="n">
        <v>445</v>
      </c>
      <c r="I8" s="10" t="n">
        <v>5</v>
      </c>
      <c r="J8" s="8" t="inlineStr">
        <is>
          <t>Delivered</t>
        </is>
      </c>
      <c r="K8" s="11">
        <f>IF(H8&lt;150,"Review","OK")</f>
        <v/>
      </c>
    </row>
    <row r="9" ht="18" customHeight="1">
      <c r="A9" s="4" t="inlineStr">
        <is>
          <t>FE-007</t>
        </is>
      </c>
      <c r="B9" s="5" t="n">
        <v>45699</v>
      </c>
      <c r="C9" s="4" t="inlineStr">
        <is>
          <t>Puff McGuffin</t>
        </is>
      </c>
      <c r="D9" s="4" t="inlineStr">
        <is>
          <t>Crystal Coast</t>
        </is>
      </c>
      <c r="E9" s="4" t="inlineStr">
        <is>
          <t>Standard</t>
        </is>
      </c>
      <c r="F9" s="6" t="n">
        <v>60</v>
      </c>
      <c r="G9" s="6" t="n">
        <v>9</v>
      </c>
      <c r="H9" s="6" t="n">
        <v>98</v>
      </c>
      <c r="I9" s="6" t="n">
        <v>2</v>
      </c>
      <c r="J9" s="4" t="inlineStr">
        <is>
          <t>Delayed</t>
        </is>
      </c>
      <c r="K9" s="7">
        <f>IF(H9&lt;150,"Review","OK")</f>
        <v/>
      </c>
    </row>
    <row r="10" ht="18" customHeight="1">
      <c r="A10" s="8" t="inlineStr">
        <is>
          <t>FE-008</t>
        </is>
      </c>
      <c r="B10" s="9" t="n">
        <v>45704</v>
      </c>
      <c r="C10" s="8" t="inlineStr">
        <is>
          <t>Brimstone Bill</t>
        </is>
      </c>
      <c r="D10" s="8" t="inlineStr">
        <is>
          <t>Northern Peaks</t>
        </is>
      </c>
      <c r="E10" s="8" t="inlineStr">
        <is>
          <t>Oversized</t>
        </is>
      </c>
      <c r="F10" s="10" t="n">
        <v>340</v>
      </c>
      <c r="G10" s="10" t="n">
        <v>18</v>
      </c>
      <c r="H10" s="10" t="n">
        <v>390</v>
      </c>
      <c r="I10" s="10" t="n">
        <v>4</v>
      </c>
      <c r="J10" s="8" t="inlineStr">
        <is>
          <t>Delivered</t>
        </is>
      </c>
      <c r="K10" s="11">
        <f>IF(H10&lt;150,"Review","OK")</f>
        <v/>
      </c>
    </row>
    <row r="11" ht="18" customHeight="1">
      <c r="A11" s="4" t="inlineStr">
        <is>
          <t>FE-009</t>
        </is>
      </c>
      <c r="B11" s="5" t="n">
        <v>45708</v>
      </c>
      <c r="C11" s="4" t="inlineStr">
        <is>
          <t>Cinderella Vex</t>
        </is>
      </c>
      <c r="D11" s="4" t="inlineStr">
        <is>
          <t>Misty Vale</t>
        </is>
      </c>
      <c r="E11" s="4" t="inlineStr">
        <is>
          <t>Fragile</t>
        </is>
      </c>
      <c r="F11" s="6" t="n">
        <v>150</v>
      </c>
      <c r="G11" s="6" t="n">
        <v>10</v>
      </c>
      <c r="H11" s="6" t="n">
        <v>230</v>
      </c>
      <c r="I11" s="6" t="n">
        <v>5</v>
      </c>
      <c r="J11" s="4" t="inlineStr">
        <is>
          <t>Delivered</t>
        </is>
      </c>
      <c r="K11" s="7">
        <f>IF(H11&lt;150,"Review","OK")</f>
        <v/>
      </c>
    </row>
    <row r="12" ht="18" customHeight="1">
      <c r="A12" s="8" t="inlineStr">
        <is>
          <t>FE-010</t>
        </is>
      </c>
      <c r="B12" s="9" t="n">
        <v>45714</v>
      </c>
      <c r="C12" s="8" t="inlineStr">
        <is>
          <t>Scorch the Magnificent</t>
        </is>
      </c>
      <c r="D12" s="8" t="inlineStr">
        <is>
          <t>Sunken Swamp</t>
        </is>
      </c>
      <c r="E12" s="8" t="inlineStr">
        <is>
          <t>Standard</t>
        </is>
      </c>
      <c r="F12" s="10" t="n">
        <v>170</v>
      </c>
      <c r="G12" s="10" t="n">
        <v>13</v>
      </c>
      <c r="H12" s="10" t="n">
        <v>220</v>
      </c>
      <c r="I12" s="10" t="n">
        <v>3</v>
      </c>
      <c r="J12" s="8" t="inlineStr">
        <is>
          <t>Delivered</t>
        </is>
      </c>
      <c r="K12" s="11">
        <f>IF(H12&lt;150,"Review","OK")</f>
        <v/>
      </c>
    </row>
    <row r="13" ht="18" customHeight="1">
      <c r="A13" s="4" t="inlineStr">
        <is>
          <t>FE-011</t>
        </is>
      </c>
      <c r="B13" s="5" t="n">
        <v>45720</v>
      </c>
      <c r="C13" s="4" t="inlineStr">
        <is>
          <t>Hotfoot Hana</t>
        </is>
      </c>
      <c r="D13" s="4" t="inlineStr">
        <is>
          <t>Crystal Coast</t>
        </is>
      </c>
      <c r="E13" s="4" t="inlineStr">
        <is>
          <t>Express</t>
        </is>
      </c>
      <c r="F13" s="6" t="n">
        <v>310</v>
      </c>
      <c r="G13" s="6" t="n">
        <v>12</v>
      </c>
      <c r="H13" s="6" t="n">
        <v>360</v>
      </c>
      <c r="I13" s="6" t="n">
        <v>5</v>
      </c>
      <c r="J13" s="4" t="inlineStr">
        <is>
          <t>Delivered</t>
        </is>
      </c>
      <c r="K13" s="7">
        <f>IF(H13&lt;150,"Review","OK")</f>
        <v/>
      </c>
    </row>
    <row r="14" ht="18" customHeight="1">
      <c r="A14" s="8" t="inlineStr">
        <is>
          <t>FE-012</t>
        </is>
      </c>
      <c r="B14" s="9" t="n">
        <v>45726</v>
      </c>
      <c r="C14" s="8" t="inlineStr">
        <is>
          <t>Brimstone Bill</t>
        </is>
      </c>
      <c r="D14" s="8" t="inlineStr">
        <is>
          <t>Ironforge Pass</t>
        </is>
      </c>
      <c r="E14" s="8" t="inlineStr">
        <is>
          <t>Standard</t>
        </is>
      </c>
      <c r="F14" s="10" t="n">
        <v>190</v>
      </c>
      <c r="G14" s="10" t="n">
        <v>11</v>
      </c>
      <c r="H14" s="10" t="n">
        <v>245</v>
      </c>
      <c r="I14" s="10" t="n">
        <v>3</v>
      </c>
      <c r="J14" s="8" t="inlineStr">
        <is>
          <t>Delivered</t>
        </is>
      </c>
      <c r="K14" s="11">
        <f>IF(H14&lt;150,"Review","OK")</f>
        <v/>
      </c>
    </row>
    <row r="15" ht="18" customHeight="1">
      <c r="A15" s="4" t="inlineStr">
        <is>
          <t>FE-013</t>
        </is>
      </c>
      <c r="B15" s="5" t="n">
        <v>45731</v>
      </c>
      <c r="C15" s="4" t="inlineStr">
        <is>
          <t>Puff McGuffin</t>
        </is>
      </c>
      <c r="D15" s="4" t="inlineStr">
        <is>
          <t>Misty Vale</t>
        </is>
      </c>
      <c r="E15" s="4" t="inlineStr">
        <is>
          <t>Standard</t>
        </is>
      </c>
      <c r="F15" s="6" t="n">
        <v>90</v>
      </c>
      <c r="G15" s="6" t="n">
        <v>14</v>
      </c>
      <c r="H15" s="6" t="n">
        <v>130</v>
      </c>
      <c r="I15" s="6" t="n">
        <v>2</v>
      </c>
      <c r="J15" s="4" t="inlineStr">
        <is>
          <t>Delayed</t>
        </is>
      </c>
      <c r="K15" s="7">
        <f>IF(H15&lt;150,"Review","OK")</f>
        <v/>
      </c>
    </row>
    <row r="16" ht="18" customHeight="1">
      <c r="A16" s="8" t="inlineStr">
        <is>
          <t>FE-014</t>
        </is>
      </c>
      <c r="B16" s="9" t="n">
        <v>45737</v>
      </c>
      <c r="C16" s="8" t="inlineStr">
        <is>
          <t>Cinderella Vex</t>
        </is>
      </c>
      <c r="D16" s="8" t="inlineStr">
        <is>
          <t>Northern Peaks</t>
        </is>
      </c>
      <c r="E16" s="8" t="inlineStr">
        <is>
          <t>Oversized</t>
        </is>
      </c>
      <c r="F16" s="10" t="n">
        <v>400</v>
      </c>
      <c r="G16" s="10" t="n">
        <v>22</v>
      </c>
      <c r="H16" s="10" t="n">
        <v>460</v>
      </c>
      <c r="I16" s="10" t="n">
        <v>4</v>
      </c>
      <c r="J16" s="8" t="inlineStr">
        <is>
          <t>Delivered</t>
        </is>
      </c>
      <c r="K16" s="11">
        <f>IF(H16&lt;150,"Review","OK")</f>
        <v/>
      </c>
    </row>
    <row r="17" ht="18" customHeight="1">
      <c r="A17" s="4" t="inlineStr">
        <is>
          <t>FE-015</t>
        </is>
      </c>
      <c r="B17" s="5" t="n">
        <v>45743</v>
      </c>
      <c r="C17" s="4" t="inlineStr">
        <is>
          <t>Scorch the Magnificent</t>
        </is>
      </c>
      <c r="D17" s="4" t="inlineStr">
        <is>
          <t>Sunken Swamp</t>
        </is>
      </c>
      <c r="E17" s="4" t="inlineStr">
        <is>
          <t>Fragile</t>
        </is>
      </c>
      <c r="F17" s="6" t="n">
        <v>140</v>
      </c>
      <c r="G17" s="6" t="n">
        <v>9</v>
      </c>
      <c r="H17" s="6" t="n">
        <v>200</v>
      </c>
      <c r="I17" s="6" t="n">
        <v>4</v>
      </c>
      <c r="J17" s="4" t="inlineStr">
        <is>
          <t>Delivered</t>
        </is>
      </c>
      <c r="K17" s="7">
        <f>IF(H17&lt;150,"Review","OK")</f>
        <v/>
      </c>
    </row>
    <row r="18" ht="18" customHeight="1">
      <c r="A18" s="8" t="inlineStr">
        <is>
          <t>FE-016</t>
        </is>
      </c>
      <c r="B18" s="9" t="n">
        <v>45750</v>
      </c>
      <c r="C18" s="8" t="inlineStr">
        <is>
          <t>Hotfoot Hana</t>
        </is>
      </c>
      <c r="D18" s="8" t="inlineStr">
        <is>
          <t>Northern Peaks</t>
        </is>
      </c>
      <c r="E18" s="8" t="inlineStr">
        <is>
          <t>Express</t>
        </is>
      </c>
      <c r="F18" s="10" t="n">
        <v>440</v>
      </c>
      <c r="G18" s="10" t="n">
        <v>16</v>
      </c>
      <c r="H18" s="10" t="n">
        <v>475</v>
      </c>
      <c r="I18" s="10" t="n">
        <v>5</v>
      </c>
      <c r="J18" s="8" t="inlineStr">
        <is>
          <t>Delivered</t>
        </is>
      </c>
      <c r="K18" s="11">
        <f>IF(H18&lt;150,"Review","OK")</f>
        <v/>
      </c>
    </row>
    <row r="19" ht="18" customHeight="1">
      <c r="A19" s="4" t="inlineStr">
        <is>
          <t>FE-017</t>
        </is>
      </c>
      <c r="B19" s="5" t="n">
        <v>45756</v>
      </c>
      <c r="C19" s="4" t="inlineStr">
        <is>
          <t>Puff McGuffin</t>
        </is>
      </c>
      <c r="D19" s="4" t="inlineStr">
        <is>
          <t>Sunken Swamp</t>
        </is>
      </c>
      <c r="E19" s="4" t="inlineStr">
        <is>
          <t>Standard</t>
        </is>
      </c>
      <c r="F19" s="6" t="n">
        <v>100</v>
      </c>
      <c r="G19" s="6" t="n">
        <v>12</v>
      </c>
      <c r="H19" s="6" t="n">
        <v>145</v>
      </c>
      <c r="I19" s="6" t="n">
        <v>2</v>
      </c>
      <c r="J19" s="4" t="inlineStr">
        <is>
          <t>Delayed</t>
        </is>
      </c>
      <c r="K19" s="7">
        <f>IF(H19&lt;150,"Review","OK")</f>
        <v/>
      </c>
    </row>
    <row r="20" ht="18" customHeight="1">
      <c r="A20" s="8" t="inlineStr">
        <is>
          <t>FE-018</t>
        </is>
      </c>
      <c r="B20" s="9" t="n">
        <v>45761</v>
      </c>
      <c r="C20" s="8" t="inlineStr">
        <is>
          <t>Brimstone Bill</t>
        </is>
      </c>
      <c r="D20" s="8" t="inlineStr">
        <is>
          <t>Misty Vale</t>
        </is>
      </c>
      <c r="E20" s="8" t="inlineStr">
        <is>
          <t>Standard</t>
        </is>
      </c>
      <c r="F20" s="10" t="n">
        <v>160</v>
      </c>
      <c r="G20" s="10" t="n">
        <v>10</v>
      </c>
      <c r="H20" s="10" t="n">
        <v>210</v>
      </c>
      <c r="I20" s="10" t="n">
        <v>4</v>
      </c>
      <c r="J20" s="8" t="inlineStr">
        <is>
          <t>Delivered</t>
        </is>
      </c>
      <c r="K20" s="11">
        <f>IF(H20&lt;150,"Review","OK")</f>
        <v/>
      </c>
    </row>
    <row r="21" ht="18" customHeight="1">
      <c r="A21" s="4" t="inlineStr">
        <is>
          <t>FE-019</t>
        </is>
      </c>
      <c r="B21" s="5" t="n">
        <v>45767</v>
      </c>
      <c r="C21" s="4" t="inlineStr">
        <is>
          <t>Cinderella Vex</t>
        </is>
      </c>
      <c r="D21" s="4" t="inlineStr">
        <is>
          <t>Ironforge Pass</t>
        </is>
      </c>
      <c r="E21" s="4" t="inlineStr">
        <is>
          <t>Express</t>
        </is>
      </c>
      <c r="F21" s="6" t="n">
        <v>350</v>
      </c>
      <c r="G21" s="6" t="n">
        <v>14</v>
      </c>
      <c r="H21" s="6" t="n">
        <v>395</v>
      </c>
      <c r="I21" s="6" t="n">
        <v>5</v>
      </c>
      <c r="J21" s="4" t="inlineStr">
        <is>
          <t>Delivered</t>
        </is>
      </c>
      <c r="K21" s="7">
        <f>IF(H21&lt;150,"Review","OK")</f>
        <v/>
      </c>
    </row>
    <row r="22" ht="18" customHeight="1">
      <c r="A22" s="8" t="inlineStr">
        <is>
          <t>FE-020</t>
        </is>
      </c>
      <c r="B22" s="9" t="n">
        <v>45772</v>
      </c>
      <c r="C22" s="8" t="inlineStr">
        <is>
          <t>Scorch the Magnificent</t>
        </is>
      </c>
      <c r="D22" s="8" t="inlineStr">
        <is>
          <t>Crystal Coast</t>
        </is>
      </c>
      <c r="E22" s="8" t="inlineStr">
        <is>
          <t>Fragile</t>
        </is>
      </c>
      <c r="F22" s="10" t="n">
        <v>130</v>
      </c>
      <c r="G22" s="10" t="n">
        <v>11</v>
      </c>
      <c r="H22" s="10" t="n">
        <v>175</v>
      </c>
      <c r="I22" s="10" t="n">
        <v>3</v>
      </c>
      <c r="J22" s="8" t="inlineStr">
        <is>
          <t>Delivered</t>
        </is>
      </c>
      <c r="K22" s="11">
        <f>IF(H22&lt;150,"Review","OK")</f>
        <v/>
      </c>
    </row>
    <row r="23" ht="18" customHeight="1">
      <c r="A23" s="4" t="inlineStr">
        <is>
          <t>FE-021</t>
        </is>
      </c>
      <c r="B23" s="5" t="n">
        <v>45779</v>
      </c>
      <c r="C23" s="4" t="inlineStr">
        <is>
          <t>Hotfoot Hana</t>
        </is>
      </c>
      <c r="D23" s="4" t="inlineStr">
        <is>
          <t>Sunken Swamp</t>
        </is>
      </c>
      <c r="E23" s="4" t="inlineStr">
        <is>
          <t>Oversized</t>
        </is>
      </c>
      <c r="F23" s="6" t="n">
        <v>260</v>
      </c>
      <c r="G23" s="6" t="n">
        <v>17</v>
      </c>
      <c r="H23" s="6" t="n">
        <v>335</v>
      </c>
      <c r="I23" s="6" t="n">
        <v>5</v>
      </c>
      <c r="J23" s="4" t="inlineStr">
        <is>
          <t>Delivered</t>
        </is>
      </c>
      <c r="K23" s="7">
        <f>IF(H23&lt;150,"Review","OK")</f>
        <v/>
      </c>
    </row>
    <row r="24" ht="18" customHeight="1">
      <c r="A24" s="8" t="inlineStr">
        <is>
          <t>FE-022</t>
        </is>
      </c>
      <c r="B24" s="9" t="n">
        <v>45785</v>
      </c>
      <c r="C24" s="8" t="inlineStr">
        <is>
          <t>Brimstone Bill</t>
        </is>
      </c>
      <c r="D24" s="8" t="inlineStr">
        <is>
          <t>Crystal Coast</t>
        </is>
      </c>
      <c r="E24" s="8" t="inlineStr">
        <is>
          <t>Standard</t>
        </is>
      </c>
      <c r="F24" s="10" t="n">
        <v>70</v>
      </c>
      <c r="G24" s="10" t="n">
        <v>11</v>
      </c>
      <c r="H24" s="10" t="n">
        <v>108</v>
      </c>
      <c r="I24" s="10" t="n">
        <v>3</v>
      </c>
      <c r="J24" s="8" t="inlineStr">
        <is>
          <t>Delayed</t>
        </is>
      </c>
      <c r="K24" s="11">
        <f>IF(H24&lt;150,"Review","OK")</f>
        <v/>
      </c>
    </row>
    <row r="25" ht="18" customHeight="1">
      <c r="A25" s="4" t="inlineStr">
        <is>
          <t>FE-023</t>
        </is>
      </c>
      <c r="B25" s="5" t="n">
        <v>45791</v>
      </c>
      <c r="C25" s="4" t="inlineStr">
        <is>
          <t>Puff McGuffin</t>
        </is>
      </c>
      <c r="D25" s="4" t="inlineStr">
        <is>
          <t>Northern Peaks</t>
        </is>
      </c>
      <c r="E25" s="4" t="inlineStr">
        <is>
          <t>Standard</t>
        </is>
      </c>
      <c r="F25" s="6" t="n">
        <v>210</v>
      </c>
      <c r="G25" s="6" t="n">
        <v>18</v>
      </c>
      <c r="H25" s="6" t="n">
        <v>165</v>
      </c>
      <c r="I25" s="6" t="n">
        <v>1</v>
      </c>
      <c r="J25" s="4" t="inlineStr">
        <is>
          <t>Lost</t>
        </is>
      </c>
      <c r="K25" s="7">
        <f>IF(H25&lt;150,"Review","OK")</f>
        <v/>
      </c>
    </row>
    <row r="26" ht="18" customHeight="1">
      <c r="A26" s="8" t="inlineStr">
        <is>
          <t>FE-024</t>
        </is>
      </c>
      <c r="B26" s="9" t="n">
        <v>45797</v>
      </c>
      <c r="C26" s="8" t="inlineStr">
        <is>
          <t>Cinderella Vex</t>
        </is>
      </c>
      <c r="D26" s="8" t="inlineStr">
        <is>
          <t>Misty Vale</t>
        </is>
      </c>
      <c r="E26" s="8" t="inlineStr">
        <is>
          <t>Fragile</t>
        </is>
      </c>
      <c r="F26" s="10" t="n">
        <v>180</v>
      </c>
      <c r="G26" s="10" t="n">
        <v>11</v>
      </c>
      <c r="H26" s="10" t="n">
        <v>265</v>
      </c>
      <c r="I26" s="10" t="n">
        <v>4</v>
      </c>
      <c r="J26" s="8" t="inlineStr">
        <is>
          <t>Delivered</t>
        </is>
      </c>
      <c r="K26" s="11">
        <f>IF(H26&lt;150,"Review","OK")</f>
        <v/>
      </c>
    </row>
    <row r="27" ht="18" customHeight="1">
      <c r="A27" s="4" t="inlineStr">
        <is>
          <t>FE-025</t>
        </is>
      </c>
      <c r="B27" s="5" t="n">
        <v>45804</v>
      </c>
      <c r="C27" s="4" t="inlineStr">
        <is>
          <t>Scorch the Magnificent</t>
        </is>
      </c>
      <c r="D27" s="4" t="inlineStr">
        <is>
          <t>Ironforge Pass</t>
        </is>
      </c>
      <c r="E27" s="4" t="inlineStr">
        <is>
          <t>Express</t>
        </is>
      </c>
      <c r="F27" s="6" t="n">
        <v>320</v>
      </c>
      <c r="G27" s="6" t="n">
        <v>13</v>
      </c>
      <c r="H27" s="6" t="n">
        <v>375</v>
      </c>
      <c r="I27" s="6" t="n">
        <v>4</v>
      </c>
      <c r="J27" s="4" t="inlineStr">
        <is>
          <t>Delivered</t>
        </is>
      </c>
      <c r="K27" s="7">
        <f>IF(H27&lt;150,"Review","OK")</f>
        <v/>
      </c>
    </row>
    <row r="28" ht="18" customHeight="1">
      <c r="A28" s="8" t="inlineStr">
        <is>
          <t>FE-026</t>
        </is>
      </c>
      <c r="B28" s="9" t="n">
        <v>45810</v>
      </c>
      <c r="C28" s="8" t="inlineStr">
        <is>
          <t>Hotfoot Hana</t>
        </is>
      </c>
      <c r="D28" s="8" t="inlineStr">
        <is>
          <t>Northern Peaks</t>
        </is>
      </c>
      <c r="E28" s="8" t="inlineStr">
        <is>
          <t>Express</t>
        </is>
      </c>
      <c r="F28" s="10" t="n">
        <v>460</v>
      </c>
      <c r="G28" s="10" t="n">
        <v>16</v>
      </c>
      <c r="H28" s="10" t="n">
        <v>510</v>
      </c>
      <c r="I28" s="10" t="n">
        <v>5</v>
      </c>
      <c r="J28" s="8" t="inlineStr">
        <is>
          <t>Delivered</t>
        </is>
      </c>
      <c r="K28" s="11">
        <f>IF(H28&lt;150,"Review","OK")</f>
        <v/>
      </c>
    </row>
    <row r="29" ht="18" customHeight="1">
      <c r="A29" s="4" t="inlineStr">
        <is>
          <t>FE-027</t>
        </is>
      </c>
      <c r="B29" s="5" t="n">
        <v>45814</v>
      </c>
      <c r="C29" s="4" t="inlineStr">
        <is>
          <t>Brimstone Bill</t>
        </is>
      </c>
      <c r="D29" s="4" t="inlineStr">
        <is>
          <t>Ironforge Pass</t>
        </is>
      </c>
      <c r="E29" s="4" t="inlineStr">
        <is>
          <t>Oversized</t>
        </is>
      </c>
      <c r="F29" s="6" t="n">
        <v>290</v>
      </c>
      <c r="G29" s="6" t="n">
        <v>19</v>
      </c>
      <c r="H29" s="6" t="n">
        <v>370</v>
      </c>
      <c r="I29" s="6" t="n">
        <v>4</v>
      </c>
      <c r="J29" s="4" t="inlineStr">
        <is>
          <t>Delivered</t>
        </is>
      </c>
      <c r="K29" s="7">
        <f>IF(H29&lt;150,"Review","OK")</f>
        <v/>
      </c>
    </row>
    <row r="30" ht="18" customHeight="1">
      <c r="A30" s="8" t="inlineStr">
        <is>
          <t>FE-028</t>
        </is>
      </c>
      <c r="B30" s="9" t="n">
        <v>45817</v>
      </c>
      <c r="C30" s="8" t="inlineStr">
        <is>
          <t>Cinderella Vex</t>
        </is>
      </c>
      <c r="D30" s="8" t="inlineStr">
        <is>
          <t>Misty Vale</t>
        </is>
      </c>
      <c r="E30" s="8" t="inlineStr">
        <is>
          <t>Express</t>
        </is>
      </c>
      <c r="F30" s="10" t="n">
        <v>330</v>
      </c>
      <c r="G30" s="10" t="n">
        <v>13</v>
      </c>
      <c r="H30" s="10" t="n">
        <v>385</v>
      </c>
      <c r="I30" s="10" t="n">
        <v>5</v>
      </c>
      <c r="J30" s="8" t="inlineStr">
        <is>
          <t>Delivered</t>
        </is>
      </c>
      <c r="K30" s="11">
        <f>IF(H30&lt;150,"Review","OK")</f>
        <v/>
      </c>
    </row>
    <row r="31" ht="18" customHeight="1">
      <c r="A31" s="4" t="inlineStr">
        <is>
          <t>FE-029</t>
        </is>
      </c>
      <c r="B31" s="5" t="n">
        <v>45821</v>
      </c>
      <c r="C31" s="4" t="inlineStr">
        <is>
          <t>Puff McGuffin</t>
        </is>
      </c>
      <c r="D31" s="4" t="inlineStr">
        <is>
          <t>Crystal Coast</t>
        </is>
      </c>
      <c r="E31" s="4" t="inlineStr">
        <is>
          <t>Standard</t>
        </is>
      </c>
      <c r="F31" s="6" t="n">
        <v>65</v>
      </c>
      <c r="G31" s="6" t="n">
        <v>10</v>
      </c>
      <c r="H31" s="6" t="n">
        <v>95</v>
      </c>
      <c r="I31" s="6" t="n">
        <v>2</v>
      </c>
      <c r="J31" s="4" t="inlineStr">
        <is>
          <t>Delayed</t>
        </is>
      </c>
      <c r="K31" s="7">
        <f>IF(H31&lt;150,"Review","OK")</f>
        <v/>
      </c>
    </row>
    <row r="32" ht="18" customHeight="1">
      <c r="A32" s="8" t="inlineStr">
        <is>
          <t>FE-030</t>
        </is>
      </c>
      <c r="B32" s="9" t="n">
        <v>45824</v>
      </c>
      <c r="C32" s="8" t="inlineStr">
        <is>
          <t>Scorch the Magnificent</t>
        </is>
      </c>
      <c r="D32" s="8" t="inlineStr">
        <is>
          <t>Northern Peaks</t>
        </is>
      </c>
      <c r="E32" s="8" t="inlineStr">
        <is>
          <t>Standard</t>
        </is>
      </c>
      <c r="F32" s="10" t="n">
        <v>240</v>
      </c>
      <c r="G32" s="10" t="n">
        <v>12</v>
      </c>
      <c r="H32" s="10" t="n">
        <v>300</v>
      </c>
      <c r="I32" s="10" t="n">
        <v>4</v>
      </c>
      <c r="J32" s="8" t="inlineStr">
        <is>
          <t>Delivered</t>
        </is>
      </c>
      <c r="K32" s="11">
        <f>IF(H32&lt;150,"Review","OK")</f>
        <v/>
      </c>
    </row>
    <row r="33" ht="18" customHeight="1">
      <c r="A33" s="4" t="inlineStr">
        <is>
          <t>FE-031</t>
        </is>
      </c>
      <c r="B33" s="5" t="n">
        <v>45828</v>
      </c>
      <c r="C33" s="4" t="inlineStr">
        <is>
          <t>Hotfoot Hana</t>
        </is>
      </c>
      <c r="D33" s="4" t="inlineStr">
        <is>
          <t>Sunken Swamp</t>
        </is>
      </c>
      <c r="E33" s="4" t="inlineStr">
        <is>
          <t>Fragile</t>
        </is>
      </c>
      <c r="F33" s="6" t="n">
        <v>270</v>
      </c>
      <c r="G33" s="6" t="n">
        <v>15</v>
      </c>
      <c r="H33" s="6" t="n">
        <v>340</v>
      </c>
      <c r="I33" s="6" t="n">
        <v>5</v>
      </c>
      <c r="J33" s="4" t="inlineStr">
        <is>
          <t>Delivered</t>
        </is>
      </c>
      <c r="K33" s="7">
        <f>IF(H33&lt;150,"Review","OK")</f>
        <v/>
      </c>
    </row>
    <row r="34" ht="18" customHeight="1">
      <c r="A34" s="8" t="inlineStr">
        <is>
          <t>FE-032</t>
        </is>
      </c>
      <c r="B34" s="9" t="n">
        <v>45832</v>
      </c>
      <c r="C34" s="8" t="inlineStr">
        <is>
          <t>Brimstone Bill</t>
        </is>
      </c>
      <c r="D34" s="8" t="inlineStr">
        <is>
          <t>Misty Vale</t>
        </is>
      </c>
      <c r="E34" s="8" t="inlineStr">
        <is>
          <t>Standard</t>
        </is>
      </c>
      <c r="F34" s="10" t="n">
        <v>145</v>
      </c>
      <c r="G34" s="10" t="n">
        <v>9</v>
      </c>
      <c r="H34" s="10" t="n">
        <v>198</v>
      </c>
      <c r="I34" s="10" t="n">
        <v>3</v>
      </c>
      <c r="J34" s="8" t="inlineStr">
        <is>
          <t>Delivered</t>
        </is>
      </c>
      <c r="K34" s="11">
        <f>IF(H34&lt;150,"Review","OK")</f>
        <v/>
      </c>
    </row>
    <row r="35" ht="18" customHeight="1">
      <c r="A35" s="4" t="inlineStr">
        <is>
          <t>FE-033</t>
        </is>
      </c>
      <c r="B35" s="5" t="n">
        <v>45836</v>
      </c>
      <c r="C35" s="4" t="inlineStr">
        <is>
          <t>Cinderella Vex</t>
        </is>
      </c>
      <c r="D35" s="4" t="inlineStr">
        <is>
          <t>Ironforge Pass</t>
        </is>
      </c>
      <c r="E35" s="4" t="inlineStr">
        <is>
          <t>Oversized</t>
        </is>
      </c>
      <c r="F35" s="6" t="n">
        <v>360</v>
      </c>
      <c r="G35" s="6" t="n">
        <v>21</v>
      </c>
      <c r="H35" s="6" t="n">
        <v>430</v>
      </c>
      <c r="I35" s="6" t="n">
        <v>4</v>
      </c>
      <c r="J35" s="4" t="inlineStr">
        <is>
          <t>Delivered</t>
        </is>
      </c>
      <c r="K35" s="7">
        <f>IF(H35&lt;150,"Review","OK")</f>
        <v/>
      </c>
    </row>
    <row r="36" ht="18" customHeight="1">
      <c r="A36" s="8" t="inlineStr">
        <is>
          <t>FE-034</t>
        </is>
      </c>
      <c r="B36" s="9" t="n">
        <v>45841</v>
      </c>
      <c r="C36" s="8" t="inlineStr">
        <is>
          <t>Hotfoot Hana</t>
        </is>
      </c>
      <c r="D36" s="8" t="inlineStr">
        <is>
          <t>Ironforge Pass</t>
        </is>
      </c>
      <c r="E36" s="8" t="inlineStr">
        <is>
          <t>Express</t>
        </is>
      </c>
      <c r="F36" s="10" t="n">
        <v>470</v>
      </c>
      <c r="G36" s="10" t="n">
        <v>17</v>
      </c>
      <c r="H36" s="10" t="n">
        <v>520</v>
      </c>
      <c r="I36" s="10" t="n">
        <v>5</v>
      </c>
      <c r="J36" s="8" t="inlineStr">
        <is>
          <t>Delivered</t>
        </is>
      </c>
      <c r="K36" s="11">
        <f>IF(H36&lt;150,"Review","OK")</f>
        <v/>
      </c>
    </row>
    <row r="37" ht="18" customHeight="1">
      <c r="A37" s="4" t="inlineStr">
        <is>
          <t>FE-035</t>
        </is>
      </c>
      <c r="B37" s="5" t="n">
        <v>45845</v>
      </c>
      <c r="C37" s="4" t="inlineStr">
        <is>
          <t>Brimstone Bill</t>
        </is>
      </c>
      <c r="D37" s="4" t="inlineStr">
        <is>
          <t>Northern Peaks</t>
        </is>
      </c>
      <c r="E37" s="4" t="inlineStr">
        <is>
          <t>Standard</t>
        </is>
      </c>
      <c r="F37" s="6" t="n">
        <v>280</v>
      </c>
      <c r="G37" s="6" t="n">
        <v>14</v>
      </c>
      <c r="H37" s="6" t="n">
        <v>340</v>
      </c>
      <c r="I37" s="6" t="n">
        <v>4</v>
      </c>
      <c r="J37" s="4" t="inlineStr">
        <is>
          <t>Delivered</t>
        </is>
      </c>
      <c r="K37" s="7">
        <f>IF(H37&lt;150,"Review","OK")</f>
        <v/>
      </c>
    </row>
    <row r="38" ht="18" customHeight="1">
      <c r="A38" s="8" t="inlineStr">
        <is>
          <t>FE-036</t>
        </is>
      </c>
      <c r="B38" s="9" t="n">
        <v>45848</v>
      </c>
      <c r="C38" s="8" t="inlineStr">
        <is>
          <t>Cinderella Vex</t>
        </is>
      </c>
      <c r="D38" s="8" t="inlineStr">
        <is>
          <t>Sunken Swamp</t>
        </is>
      </c>
      <c r="E38" s="8" t="inlineStr">
        <is>
          <t>Express</t>
        </is>
      </c>
      <c r="F38" s="10" t="n">
        <v>300</v>
      </c>
      <c r="G38" s="10" t="n">
        <v>13</v>
      </c>
      <c r="H38" s="10" t="n">
        <v>368</v>
      </c>
      <c r="I38" s="10" t="n">
        <v>5</v>
      </c>
      <c r="J38" s="8" t="inlineStr">
        <is>
          <t>Delivered</t>
        </is>
      </c>
      <c r="K38" s="11">
        <f>IF(H38&lt;150,"Review","OK")</f>
        <v/>
      </c>
    </row>
    <row r="39" ht="18" customHeight="1">
      <c r="A39" s="4" t="inlineStr">
        <is>
          <t>FE-037</t>
        </is>
      </c>
      <c r="B39" s="5" t="n">
        <v>45852</v>
      </c>
      <c r="C39" s="4" t="inlineStr">
        <is>
          <t>Puff McGuffin</t>
        </is>
      </c>
      <c r="D39" s="4" t="inlineStr">
        <is>
          <t>Crystal Coast</t>
        </is>
      </c>
      <c r="E39" s="4" t="inlineStr">
        <is>
          <t>Fragile</t>
        </is>
      </c>
      <c r="F39" s="6" t="n">
        <v>50</v>
      </c>
      <c r="G39" s="6" t="n">
        <v>13</v>
      </c>
      <c r="H39" s="6" t="n">
        <v>88</v>
      </c>
      <c r="I39" s="6" t="n">
        <v>2</v>
      </c>
      <c r="J39" s="4" t="inlineStr">
        <is>
          <t>Delayed</t>
        </is>
      </c>
      <c r="K39" s="7">
        <f>IF(H39&lt;150,"Review","OK")</f>
        <v/>
      </c>
    </row>
    <row r="40" ht="18" customHeight="1">
      <c r="A40" s="8" t="inlineStr">
        <is>
          <t>FE-038</t>
        </is>
      </c>
      <c r="B40" s="9" t="n">
        <v>45855</v>
      </c>
      <c r="C40" s="8" t="inlineStr">
        <is>
          <t>Scorch the Magnificent</t>
        </is>
      </c>
      <c r="D40" s="8" t="inlineStr">
        <is>
          <t>Misty Vale</t>
        </is>
      </c>
      <c r="E40" s="8" t="inlineStr">
        <is>
          <t>Standard</t>
        </is>
      </c>
      <c r="F40" s="10" t="n">
        <v>195</v>
      </c>
      <c r="G40" s="10" t="n">
        <v>11</v>
      </c>
      <c r="H40" s="10" t="n">
        <v>250</v>
      </c>
      <c r="I40" s="10" t="n">
        <v>3</v>
      </c>
      <c r="J40" s="8" t="inlineStr">
        <is>
          <t>Delivered</t>
        </is>
      </c>
      <c r="K40" s="11">
        <f>IF(H40&lt;150,"Review","OK")</f>
        <v/>
      </c>
    </row>
    <row r="41" ht="18" customHeight="1">
      <c r="A41" s="4" t="inlineStr">
        <is>
          <t>FE-039</t>
        </is>
      </c>
      <c r="B41" s="5" t="n">
        <v>45859</v>
      </c>
      <c r="C41" s="4" t="inlineStr">
        <is>
          <t>Hotfoot Hana</t>
        </is>
      </c>
      <c r="D41" s="4" t="inlineStr">
        <is>
          <t>Crystal Coast</t>
        </is>
      </c>
      <c r="E41" s="4" t="inlineStr">
        <is>
          <t>Standard</t>
        </is>
      </c>
      <c r="F41" s="6" t="n">
        <v>110</v>
      </c>
      <c r="G41" s="6" t="n">
        <v>8</v>
      </c>
      <c r="H41" s="6" t="n">
        <v>175</v>
      </c>
      <c r="I41" s="6" t="n">
        <v>4</v>
      </c>
      <c r="J41" s="4" t="inlineStr">
        <is>
          <t>Delivered</t>
        </is>
      </c>
      <c r="K41" s="7">
        <f>IF(H41&lt;150,"Review","OK")</f>
        <v/>
      </c>
    </row>
    <row r="42" ht="18" customHeight="1">
      <c r="A42" s="8" t="inlineStr">
        <is>
          <t>FE-040</t>
        </is>
      </c>
      <c r="B42" s="9" t="n">
        <v>45862</v>
      </c>
      <c r="C42" s="8" t="inlineStr">
        <is>
          <t>Brimstone Bill</t>
        </is>
      </c>
      <c r="D42" s="8" t="inlineStr">
        <is>
          <t>Sunken Swamp</t>
        </is>
      </c>
      <c r="E42" s="8" t="inlineStr">
        <is>
          <t>Oversized</t>
        </is>
      </c>
      <c r="F42" s="10" t="n">
        <v>320</v>
      </c>
      <c r="G42" s="10" t="n">
        <v>20</v>
      </c>
      <c r="H42" s="10" t="n">
        <v>400</v>
      </c>
      <c r="I42" s="10" t="n">
        <v>4</v>
      </c>
      <c r="J42" s="8" t="inlineStr">
        <is>
          <t>Delivered</t>
        </is>
      </c>
      <c r="K42" s="11">
        <f>IF(H42&lt;150,"Review","OK")</f>
        <v/>
      </c>
    </row>
    <row r="43" ht="18" customHeight="1">
      <c r="A43" s="4" t="inlineStr">
        <is>
          <t>FE-041</t>
        </is>
      </c>
      <c r="B43" s="5" t="n">
        <v>45865</v>
      </c>
      <c r="C43" s="4" t="inlineStr">
        <is>
          <t>Cinderella Vex</t>
        </is>
      </c>
      <c r="D43" s="4" t="inlineStr">
        <is>
          <t>Northern Peaks</t>
        </is>
      </c>
      <c r="E43" s="4" t="inlineStr">
        <is>
          <t>Fragile</t>
        </is>
      </c>
      <c r="F43" s="6" t="n">
        <v>390</v>
      </c>
      <c r="G43" s="6" t="n">
        <v>16</v>
      </c>
      <c r="H43" s="6" t="n">
        <v>455</v>
      </c>
      <c r="I43" s="6" t="n">
        <v>5</v>
      </c>
      <c r="J43" s="4" t="inlineStr">
        <is>
          <t>Delivered</t>
        </is>
      </c>
      <c r="K43" s="7">
        <f>IF(H43&lt;150,"Review","OK")</f>
        <v/>
      </c>
    </row>
    <row r="44" ht="18" customHeight="1">
      <c r="A44" s="8" t="inlineStr">
        <is>
          <t>FE-042</t>
        </is>
      </c>
      <c r="B44" s="9" t="n">
        <v>45868</v>
      </c>
      <c r="C44" s="8" t="inlineStr">
        <is>
          <t>Puff McGuffin</t>
        </is>
      </c>
      <c r="D44" s="8" t="inlineStr">
        <is>
          <t>Misty Vale</t>
        </is>
      </c>
      <c r="E44" s="8" t="inlineStr">
        <is>
          <t>Standard</t>
        </is>
      </c>
      <c r="F44" s="10" t="n">
        <v>22</v>
      </c>
      <c r="G44" s="10" t="n">
        <v>47</v>
      </c>
      <c r="H44" s="10" t="n">
        <v>95</v>
      </c>
      <c r="I44" s="10" t="n">
        <v>1</v>
      </c>
      <c r="J44" s="8" t="inlineStr">
        <is>
          <t>Delayed</t>
        </is>
      </c>
      <c r="K44" s="11">
        <f>IF(H44&lt;150,"Review","OK")</f>
        <v/>
      </c>
    </row>
    <row r="45" ht="18" customHeight="1">
      <c r="A45" s="4" t="inlineStr">
        <is>
          <t>FE-043</t>
        </is>
      </c>
      <c r="B45" s="5" t="n">
        <v>45873</v>
      </c>
      <c r="C45" s="4" t="inlineStr">
        <is>
          <t>Hotfoot Hana</t>
        </is>
      </c>
      <c r="D45" s="4" t="inlineStr">
        <is>
          <t>Northern Peaks</t>
        </is>
      </c>
      <c r="E45" s="4" t="inlineStr">
        <is>
          <t>Express</t>
        </is>
      </c>
      <c r="F45" s="6" t="n">
        <v>480</v>
      </c>
      <c r="G45" s="6" t="n">
        <v>17</v>
      </c>
      <c r="H45" s="6" t="n">
        <v>530</v>
      </c>
      <c r="I45" s="6" t="n">
        <v>5</v>
      </c>
      <c r="J45" s="4" t="inlineStr">
        <is>
          <t>Delivered</t>
        </is>
      </c>
      <c r="K45" s="7">
        <f>IF(H45&lt;150,"Review","OK")</f>
        <v/>
      </c>
    </row>
    <row r="46" ht="18" customHeight="1">
      <c r="A46" s="8" t="inlineStr">
        <is>
          <t>FE-044</t>
        </is>
      </c>
      <c r="B46" s="9" t="n">
        <v>45877</v>
      </c>
      <c r="C46" s="8" t="inlineStr">
        <is>
          <t>Scorch the Magnificent</t>
        </is>
      </c>
      <c r="D46" s="8" t="inlineStr">
        <is>
          <t>Ironforge Pass</t>
        </is>
      </c>
      <c r="E46" s="8" t="inlineStr">
        <is>
          <t>Standard</t>
        </is>
      </c>
      <c r="F46" s="10" t="n">
        <v>220</v>
      </c>
      <c r="G46" s="10" t="n">
        <v>12</v>
      </c>
      <c r="H46" s="10" t="n">
        <v>278</v>
      </c>
      <c r="I46" s="10" t="n">
        <v>4</v>
      </c>
      <c r="J46" s="8" t="inlineStr">
        <is>
          <t>Delivered</t>
        </is>
      </c>
      <c r="K46" s="11">
        <f>IF(H46&lt;150,"Review","OK")</f>
        <v/>
      </c>
    </row>
    <row r="47" ht="18" customHeight="1">
      <c r="A47" s="4" t="inlineStr">
        <is>
          <t>FE-045</t>
        </is>
      </c>
      <c r="B47" s="5" t="n">
        <v>45881</v>
      </c>
      <c r="C47" s="4" t="inlineStr">
        <is>
          <t>Brimstone Bill</t>
        </is>
      </c>
      <c r="D47" s="4" t="inlineStr">
        <is>
          <t>Misty Vale</t>
        </is>
      </c>
      <c r="E47" s="4" t="inlineStr">
        <is>
          <t>Fragile</t>
        </is>
      </c>
      <c r="F47" s="6" t="n">
        <v>155</v>
      </c>
      <c r="G47" s="6" t="n">
        <v>10</v>
      </c>
      <c r="H47" s="6" t="n">
        <v>215</v>
      </c>
      <c r="I47" s="6" t="n">
        <v>3</v>
      </c>
      <c r="J47" s="4" t="inlineStr">
        <is>
          <t>Delivered</t>
        </is>
      </c>
      <c r="K47" s="7">
        <f>IF(H47&lt;150,"Review","OK")</f>
        <v/>
      </c>
    </row>
    <row r="48" ht="18" customHeight="1">
      <c r="A48" s="8" t="inlineStr">
        <is>
          <t>FE-046</t>
        </is>
      </c>
      <c r="B48" s="9" t="n">
        <v>45884</v>
      </c>
      <c r="C48" s="8" t="inlineStr">
        <is>
          <t>Puff McGuffin</t>
        </is>
      </c>
      <c r="D48" s="8" t="inlineStr">
        <is>
          <t>Crystal Coast</t>
        </is>
      </c>
      <c r="E48" s="8" t="inlineStr">
        <is>
          <t>Standard</t>
        </is>
      </c>
      <c r="F48" s="10" t="n">
        <v>75</v>
      </c>
      <c r="G48" s="10" t="n">
        <v>14</v>
      </c>
      <c r="H48" s="10" t="n">
        <v>110</v>
      </c>
      <c r="I48" s="10" t="n">
        <v>2</v>
      </c>
      <c r="J48" s="8" t="inlineStr">
        <is>
          <t>Delayed</t>
        </is>
      </c>
      <c r="K48" s="11">
        <f>IF(H48&lt;150,"Review","OK")</f>
        <v/>
      </c>
    </row>
    <row r="49" ht="18" customHeight="1">
      <c r="A49" s="4" t="inlineStr">
        <is>
          <t>FE-047</t>
        </is>
      </c>
      <c r="B49" s="5" t="n">
        <v>45888</v>
      </c>
      <c r="C49" s="4" t="inlineStr">
        <is>
          <t>Cinderella Vex</t>
        </is>
      </c>
      <c r="D49" s="4" t="inlineStr">
        <is>
          <t>Sunken Swamp</t>
        </is>
      </c>
      <c r="E49" s="4" t="inlineStr">
        <is>
          <t>Express</t>
        </is>
      </c>
      <c r="F49" s="6" t="n">
        <v>340</v>
      </c>
      <c r="G49" s="6" t="n">
        <v>14</v>
      </c>
      <c r="H49" s="6" t="n">
        <v>398</v>
      </c>
      <c r="I49" s="6" t="n">
        <v>5</v>
      </c>
      <c r="J49" s="4" t="inlineStr">
        <is>
          <t>Delivered</t>
        </is>
      </c>
      <c r="K49" s="7">
        <f>IF(H49&lt;150,"Review","OK")</f>
        <v/>
      </c>
    </row>
    <row r="50" ht="18" customHeight="1">
      <c r="A50" s="8" t="inlineStr">
        <is>
          <t>FE-048</t>
        </is>
      </c>
      <c r="B50" s="9" t="n">
        <v>45891</v>
      </c>
      <c r="C50" s="8" t="inlineStr">
        <is>
          <t>Hotfoot Hana</t>
        </is>
      </c>
      <c r="D50" s="8" t="inlineStr">
        <is>
          <t>Ironforge Pass</t>
        </is>
      </c>
      <c r="E50" s="8" t="inlineStr">
        <is>
          <t>Oversized</t>
        </is>
      </c>
      <c r="F50" s="10" t="n">
        <v>410</v>
      </c>
      <c r="G50" s="10" t="n">
        <v>22</v>
      </c>
      <c r="H50" s="10" t="n">
        <v>490</v>
      </c>
      <c r="I50" s="10" t="n">
        <v>5</v>
      </c>
      <c r="J50" s="8" t="inlineStr">
        <is>
          <t>Delivered</t>
        </is>
      </c>
      <c r="K50" s="11">
        <f>IF(H50&lt;150,"Review","OK")</f>
        <v/>
      </c>
    </row>
    <row r="51" ht="18" customHeight="1">
      <c r="A51" s="4" t="inlineStr">
        <is>
          <t>FE-049</t>
        </is>
      </c>
      <c r="B51" s="5" t="n">
        <v>45895</v>
      </c>
      <c r="C51" s="4" t="inlineStr">
        <is>
          <t>Scorch the Magnificent</t>
        </is>
      </c>
      <c r="D51" s="4" t="inlineStr">
        <is>
          <t>Northern Peaks</t>
        </is>
      </c>
      <c r="E51" s="4" t="inlineStr">
        <is>
          <t>Standard</t>
        </is>
      </c>
      <c r="F51" s="6" t="n">
        <v>260</v>
      </c>
      <c r="G51" s="6" t="n">
        <v>13</v>
      </c>
      <c r="H51" s="6" t="n">
        <v>318</v>
      </c>
      <c r="I51" s="6" t="n">
        <v>4</v>
      </c>
      <c r="J51" s="4" t="inlineStr">
        <is>
          <t>Delivered</t>
        </is>
      </c>
      <c r="K51" s="7">
        <f>IF(H51&lt;150,"Review","OK")</f>
        <v/>
      </c>
    </row>
    <row r="52" ht="18" customHeight="1">
      <c r="A52" s="8" t="inlineStr">
        <is>
          <t>FE-050</t>
        </is>
      </c>
      <c r="B52" s="9" t="n">
        <v>45899</v>
      </c>
      <c r="C52" s="8" t="inlineStr">
        <is>
          <t>Brimstone Bill</t>
        </is>
      </c>
      <c r="D52" s="8" t="inlineStr">
        <is>
          <t>Misty Vale</t>
        </is>
      </c>
      <c r="E52" s="8" t="inlineStr">
        <is>
          <t>Express</t>
        </is>
      </c>
      <c r="F52" s="10" t="n">
        <v>285</v>
      </c>
      <c r="G52" s="10" t="n">
        <v>12</v>
      </c>
      <c r="H52" s="10" t="n">
        <v>350</v>
      </c>
      <c r="I52" s="10" t="n">
        <v>4</v>
      </c>
      <c r="J52" s="8" t="inlineStr">
        <is>
          <t>Delivered</t>
        </is>
      </c>
      <c r="K52" s="11">
        <f>IF(H52&lt;150,"Review","OK")</f>
        <v/>
      </c>
    </row>
    <row r="53" ht="18" customHeight="1">
      <c r="A53" s="4" t="inlineStr">
        <is>
          <t>FE-051</t>
        </is>
      </c>
      <c r="B53" s="5" t="n">
        <v>45905</v>
      </c>
      <c r="C53" s="4" t="inlineStr">
        <is>
          <t>Cinderella Vex</t>
        </is>
      </c>
      <c r="D53" s="4" t="inlineStr">
        <is>
          <t>Northern Peaks</t>
        </is>
      </c>
      <c r="E53" s="4" t="inlineStr">
        <is>
          <t>Express</t>
        </is>
      </c>
      <c r="F53" s="6" t="n">
        <v>370</v>
      </c>
      <c r="G53" s="6" t="n">
        <v>15</v>
      </c>
      <c r="H53" s="6" t="n">
        <v>420</v>
      </c>
      <c r="I53" s="6" t="n">
        <v>5</v>
      </c>
      <c r="J53" s="4" t="inlineStr">
        <is>
          <t>Delivered</t>
        </is>
      </c>
      <c r="K53" s="7">
        <f>IF(H53&lt;150,"Review","OK")</f>
        <v/>
      </c>
    </row>
    <row r="54" ht="18" customHeight="1">
      <c r="A54" s="8" t="inlineStr">
        <is>
          <t>FE-052</t>
        </is>
      </c>
      <c r="B54" s="9" t="n">
        <v>45910</v>
      </c>
      <c r="C54" s="8" t="inlineStr">
        <is>
          <t>Hotfoot Hana</t>
        </is>
      </c>
      <c r="D54" s="8" t="inlineStr">
        <is>
          <t>Sunken Swamp</t>
        </is>
      </c>
      <c r="E54" s="8" t="inlineStr">
        <is>
          <t>Standard</t>
        </is>
      </c>
      <c r="F54" s="10" t="n">
        <v>195</v>
      </c>
      <c r="G54" s="10" t="n">
        <v>11</v>
      </c>
      <c r="H54" s="10" t="n">
        <v>258</v>
      </c>
      <c r="I54" s="10" t="n">
        <v>4</v>
      </c>
      <c r="J54" s="8" t="inlineStr">
        <is>
          <t>Delivered</t>
        </is>
      </c>
      <c r="K54" s="11">
        <f>IF(H54&lt;150,"Review","OK")</f>
        <v/>
      </c>
    </row>
    <row r="55" ht="18" customHeight="1">
      <c r="A55" s="4" t="inlineStr">
        <is>
          <t>FE-053</t>
        </is>
      </c>
      <c r="B55" s="5" t="n">
        <v>45916</v>
      </c>
      <c r="C55" s="4" t="inlineStr">
        <is>
          <t>Puff McGuffin</t>
        </is>
      </c>
      <c r="D55" s="4" t="inlineStr">
        <is>
          <t>Crystal Coast</t>
        </is>
      </c>
      <c r="E55" s="4" t="inlineStr">
        <is>
          <t>Fragile</t>
        </is>
      </c>
      <c r="F55" s="6" t="n">
        <v>58</v>
      </c>
      <c r="G55" s="6" t="n">
        <v>12</v>
      </c>
      <c r="H55" s="6" t="n">
        <v>92</v>
      </c>
      <c r="I55" s="6" t="n">
        <v>2</v>
      </c>
      <c r="J55" s="4" t="inlineStr">
        <is>
          <t>Delayed</t>
        </is>
      </c>
      <c r="K55" s="7">
        <f>IF(H55&lt;150,"Review","OK")</f>
        <v/>
      </c>
    </row>
    <row r="56" ht="18" customHeight="1">
      <c r="A56" s="8" t="inlineStr">
        <is>
          <t>FE-054</t>
        </is>
      </c>
      <c r="B56" s="9" t="n">
        <v>45921</v>
      </c>
      <c r="C56" s="8" t="inlineStr">
        <is>
          <t>Brimstone Bill</t>
        </is>
      </c>
      <c r="D56" s="8" t="inlineStr">
        <is>
          <t>Ironforge Pass</t>
        </is>
      </c>
      <c r="E56" s="8" t="inlineStr">
        <is>
          <t>Oversized</t>
        </is>
      </c>
      <c r="F56" s="10" t="n">
        <v>310</v>
      </c>
      <c r="G56" s="10" t="n">
        <v>19</v>
      </c>
      <c r="H56" s="10" t="n">
        <v>385</v>
      </c>
      <c r="I56" s="10" t="n">
        <v>4</v>
      </c>
      <c r="J56" s="8" t="inlineStr">
        <is>
          <t>Delivered</t>
        </is>
      </c>
      <c r="K56" s="11">
        <f>IF(H56&lt;150,"Review","OK")</f>
        <v/>
      </c>
    </row>
    <row r="57" ht="18" customHeight="1">
      <c r="A57" s="4" t="inlineStr">
        <is>
          <t>FE-055</t>
        </is>
      </c>
      <c r="B57" s="5" t="n">
        <v>45925</v>
      </c>
      <c r="C57" s="4" t="inlineStr">
        <is>
          <t>Scorch the Magnificent</t>
        </is>
      </c>
      <c r="D57" s="4" t="inlineStr">
        <is>
          <t>Misty Vale</t>
        </is>
      </c>
      <c r="E57" s="4" t="inlineStr">
        <is>
          <t>Standard</t>
        </is>
      </c>
      <c r="F57" s="6" t="n">
        <v>175</v>
      </c>
      <c r="G57" s="6" t="n">
        <v>10</v>
      </c>
      <c r="H57" s="6" t="n">
        <v>228</v>
      </c>
      <c r="I57" s="6" t="n">
        <v>3</v>
      </c>
      <c r="J57" s="4" t="inlineStr">
        <is>
          <t>Delivered</t>
        </is>
      </c>
      <c r="K57" s="7">
        <f>IF(H57&lt;150,"Review","OK")</f>
        <v/>
      </c>
    </row>
    <row r="58" ht="18" customHeight="1">
      <c r="A58" s="8" t="inlineStr">
        <is>
          <t>FE-056</t>
        </is>
      </c>
      <c r="B58" s="9" t="n">
        <v>45929</v>
      </c>
      <c r="C58" s="8" t="inlineStr">
        <is>
          <t>Cinderella Vex</t>
        </is>
      </c>
      <c r="D58" s="8" t="inlineStr">
        <is>
          <t>Crystal Coast</t>
        </is>
      </c>
      <c r="E58" s="8" t="inlineStr">
        <is>
          <t>Standard</t>
        </is>
      </c>
      <c r="F58" s="10" t="n">
        <v>90</v>
      </c>
      <c r="G58" s="10" t="n">
        <v>13</v>
      </c>
      <c r="H58" s="10" t="n">
        <v>132</v>
      </c>
      <c r="I58" s="10" t="n">
        <v>3</v>
      </c>
      <c r="J58" s="8" t="inlineStr">
        <is>
          <t>Delivered</t>
        </is>
      </c>
      <c r="K58" s="11">
        <f>IF(H58&lt;150,"Review","OK")</f>
        <v/>
      </c>
    </row>
    <row r="59" ht="18" customHeight="1">
      <c r="A59" s="4" t="inlineStr">
        <is>
          <t>FE-057</t>
        </is>
      </c>
      <c r="B59" s="5" t="n">
        <v>45934</v>
      </c>
      <c r="C59" s="4" t="inlineStr">
        <is>
          <t>Hotfoot Hana</t>
        </is>
      </c>
      <c r="D59" s="4" t="inlineStr">
        <is>
          <t>Ironforge Pass</t>
        </is>
      </c>
      <c r="E59" s="4" t="inlineStr">
        <is>
          <t>Express</t>
        </is>
      </c>
      <c r="F59" s="6" t="n">
        <v>400</v>
      </c>
      <c r="G59" s="6" t="n">
        <v>15</v>
      </c>
      <c r="H59" s="6" t="n">
        <v>445</v>
      </c>
      <c r="I59" s="6" t="n">
        <v>5</v>
      </c>
      <c r="J59" s="4" t="inlineStr">
        <is>
          <t>Delivered</t>
        </is>
      </c>
      <c r="K59" s="7">
        <f>IF(H59&lt;150,"Review","OK")</f>
        <v/>
      </c>
    </row>
    <row r="60" ht="18" customHeight="1">
      <c r="A60" s="8" t="inlineStr">
        <is>
          <t>FE-058</t>
        </is>
      </c>
      <c r="B60" s="9" t="n">
        <v>45939</v>
      </c>
      <c r="C60" s="8" t="inlineStr">
        <is>
          <t>Brimstone Bill</t>
        </is>
      </c>
      <c r="D60" s="8" t="inlineStr">
        <is>
          <t>Northern Peaks</t>
        </is>
      </c>
      <c r="E60" s="8" t="inlineStr">
        <is>
          <t>Standard</t>
        </is>
      </c>
      <c r="F60" s="10" t="n">
        <v>240</v>
      </c>
      <c r="G60" s="10" t="n">
        <v>13</v>
      </c>
      <c r="H60" s="10" t="n">
        <v>298</v>
      </c>
      <c r="I60" s="10" t="n">
        <v>3</v>
      </c>
      <c r="J60" s="8" t="inlineStr">
        <is>
          <t>Delivered</t>
        </is>
      </c>
      <c r="K60" s="11">
        <f>IF(H60&lt;150,"Review","OK")</f>
        <v/>
      </c>
    </row>
    <row r="61" ht="18" customHeight="1">
      <c r="A61" s="4" t="inlineStr">
        <is>
          <t>FE-059</t>
        </is>
      </c>
      <c r="B61" s="5" t="n">
        <v>45945</v>
      </c>
      <c r="C61" s="4" t="inlineStr">
        <is>
          <t>Puff McGuffin</t>
        </is>
      </c>
      <c r="D61" s="4" t="inlineStr">
        <is>
          <t>Sunken Swamp</t>
        </is>
      </c>
      <c r="E61" s="4" t="inlineStr">
        <is>
          <t>Standard</t>
        </is>
      </c>
      <c r="F61" s="6" t="n">
        <v>110</v>
      </c>
      <c r="G61" s="6" t="n">
        <v>16</v>
      </c>
      <c r="H61" s="6" t="n">
        <v>150</v>
      </c>
      <c r="I61" s="6" t="n">
        <v>2</v>
      </c>
      <c r="J61" s="4" t="inlineStr">
        <is>
          <t>Delayed</t>
        </is>
      </c>
      <c r="K61" s="7">
        <f>IF(H61&lt;150,"Review","OK")</f>
        <v/>
      </c>
    </row>
    <row r="62" ht="18" customHeight="1">
      <c r="A62" s="8" t="inlineStr">
        <is>
          <t>FE-060</t>
        </is>
      </c>
      <c r="B62" s="9" t="n">
        <v>45950</v>
      </c>
      <c r="C62" s="8" t="inlineStr">
        <is>
          <t>Cinderella Vex</t>
        </is>
      </c>
      <c r="D62" s="8" t="inlineStr">
        <is>
          <t>Misty Vale</t>
        </is>
      </c>
      <c r="E62" s="8" t="inlineStr">
        <is>
          <t>Oversized</t>
        </is>
      </c>
      <c r="F62" s="10" t="n">
        <v>270</v>
      </c>
      <c r="G62" s="10" t="n">
        <v>18</v>
      </c>
      <c r="H62" s="10" t="n">
        <v>338</v>
      </c>
      <c r="I62" s="10" t="n">
        <v>4</v>
      </c>
      <c r="J62" s="8" t="inlineStr">
        <is>
          <t>Delivered</t>
        </is>
      </c>
      <c r="K62" s="11">
        <f>IF(H62&lt;150,"Review","OK")</f>
        <v/>
      </c>
    </row>
    <row r="63" ht="18" customHeight="1">
      <c r="A63" s="4" t="inlineStr">
        <is>
          <t>FE-061</t>
        </is>
      </c>
      <c r="B63" s="5" t="n">
        <v>45955</v>
      </c>
      <c r="C63" s="4" t="inlineStr">
        <is>
          <t>Scorch the Magnificent</t>
        </is>
      </c>
      <c r="D63" s="4" t="inlineStr">
        <is>
          <t>Crystal Coast</t>
        </is>
      </c>
      <c r="E63" s="4" t="inlineStr">
        <is>
          <t>Fragile</t>
        </is>
      </c>
      <c r="F63" s="6" t="n">
        <v>105</v>
      </c>
      <c r="G63" s="6" t="n">
        <v>10</v>
      </c>
      <c r="H63" s="6" t="n">
        <v>155</v>
      </c>
      <c r="I63" s="6" t="n">
        <v>3</v>
      </c>
      <c r="J63" s="4" t="inlineStr">
        <is>
          <t>Delivered</t>
        </is>
      </c>
      <c r="K63" s="7">
        <f>IF(H63&lt;150,"Review","OK")</f>
        <v/>
      </c>
    </row>
    <row r="64" ht="18" customHeight="1">
      <c r="A64" s="8" t="inlineStr">
        <is>
          <t>FE-062</t>
        </is>
      </c>
      <c r="B64" s="9" t="n">
        <v>45960</v>
      </c>
      <c r="C64" s="8" t="inlineStr">
        <is>
          <t>Hotfoot Hana</t>
        </is>
      </c>
      <c r="D64" s="8" t="inlineStr">
        <is>
          <t>Sunken Swamp</t>
        </is>
      </c>
      <c r="E64" s="8" t="inlineStr">
        <is>
          <t>Express</t>
        </is>
      </c>
      <c r="F64" s="10" t="n">
        <v>360</v>
      </c>
      <c r="G64" s="10" t="n">
        <v>14</v>
      </c>
      <c r="H64" s="10" t="n">
        <v>408</v>
      </c>
      <c r="I64" s="10" t="n">
        <v>5</v>
      </c>
      <c r="J64" s="8" t="inlineStr">
        <is>
          <t>Delivered</t>
        </is>
      </c>
      <c r="K64" s="11">
        <f>IF(H64&lt;150,"Review","OK")</f>
        <v/>
      </c>
    </row>
    <row r="65" ht="18" customHeight="1">
      <c r="A65" s="4" t="inlineStr">
        <is>
          <t>FE-063</t>
        </is>
      </c>
      <c r="B65" s="5" t="n">
        <v>45966</v>
      </c>
      <c r="C65" s="4" t="inlineStr">
        <is>
          <t>Brimstone Bill</t>
        </is>
      </c>
      <c r="D65" s="4" t="inlineStr">
        <is>
          <t>Ironforge Pass</t>
        </is>
      </c>
      <c r="E65" s="4" t="inlineStr">
        <is>
          <t>Standard</t>
        </is>
      </c>
      <c r="F65" s="6" t="n">
        <v>200</v>
      </c>
      <c r="G65" s="6" t="n">
        <v>12</v>
      </c>
      <c r="H65" s="6" t="n">
        <v>255</v>
      </c>
      <c r="I65" s="6" t="n">
        <v>4</v>
      </c>
      <c r="J65" s="4" t="inlineStr">
        <is>
          <t>Delivered</t>
        </is>
      </c>
      <c r="K65" s="7">
        <f>IF(H65&lt;150,"Review","OK")</f>
        <v/>
      </c>
    </row>
    <row r="66" ht="18" customHeight="1">
      <c r="A66" s="8" t="inlineStr">
        <is>
          <t>FE-064</t>
        </is>
      </c>
      <c r="B66" s="9" t="n">
        <v>45971</v>
      </c>
      <c r="C66" s="8" t="inlineStr">
        <is>
          <t>Puff McGuffin</t>
        </is>
      </c>
      <c r="D66" s="8" t="inlineStr">
        <is>
          <t>Crystal Coast</t>
        </is>
      </c>
      <c r="E66" s="8" t="inlineStr">
        <is>
          <t>Standard</t>
        </is>
      </c>
      <c r="F66" s="10" t="n">
        <v>85</v>
      </c>
      <c r="G66" s="10" t="n">
        <v>15</v>
      </c>
      <c r="H66" s="10" t="n">
        <v>120</v>
      </c>
      <c r="I66" s="10" t="n">
        <v>2</v>
      </c>
      <c r="J66" s="8" t="inlineStr">
        <is>
          <t>Lost</t>
        </is>
      </c>
      <c r="K66" s="11">
        <f>IF(H66&lt;150,"Review","OK")</f>
        <v/>
      </c>
    </row>
    <row r="67" ht="18" customHeight="1">
      <c r="A67" s="4" t="inlineStr">
        <is>
          <t>FE-065</t>
        </is>
      </c>
      <c r="B67" s="5" t="n">
        <v>45978</v>
      </c>
      <c r="C67" s="4" t="inlineStr">
        <is>
          <t>Cinderella Vex</t>
        </is>
      </c>
      <c r="D67" s="4" t="inlineStr">
        <is>
          <t>Northern Peaks</t>
        </is>
      </c>
      <c r="E67" s="4" t="inlineStr">
        <is>
          <t>Express</t>
        </is>
      </c>
      <c r="F67" s="6" t="n">
        <v>430</v>
      </c>
      <c r="G67" s="6" t="n">
        <v>16</v>
      </c>
      <c r="H67" s="6" t="n">
        <v>478</v>
      </c>
      <c r="I67" s="6" t="n">
        <v>5</v>
      </c>
      <c r="J67" s="4" t="inlineStr">
        <is>
          <t>Delivered</t>
        </is>
      </c>
      <c r="K67" s="7">
        <f>IF(H67&lt;150,"Review","OK")</f>
        <v/>
      </c>
    </row>
    <row r="68" ht="18" customHeight="1">
      <c r="A68" s="8" t="inlineStr">
        <is>
          <t>FE-066</t>
        </is>
      </c>
      <c r="B68" s="9" t="n">
        <v>45983</v>
      </c>
      <c r="C68" s="8" t="inlineStr">
        <is>
          <t>Scorch the Magnificent</t>
        </is>
      </c>
      <c r="D68" s="8" t="inlineStr">
        <is>
          <t>Misty Vale</t>
        </is>
      </c>
      <c r="E68" s="8" t="inlineStr">
        <is>
          <t>Fragile</t>
        </is>
      </c>
      <c r="F68" s="10" t="n">
        <v>160</v>
      </c>
      <c r="G68" s="10" t="n">
        <v>10</v>
      </c>
      <c r="H68" s="10" t="n">
        <v>218</v>
      </c>
      <c r="I68" s="10" t="n">
        <v>3</v>
      </c>
      <c r="J68" s="8" t="inlineStr">
        <is>
          <t>Delivered</t>
        </is>
      </c>
      <c r="K68" s="11">
        <f>IF(H68&lt;150,"Review","OK")</f>
        <v/>
      </c>
    </row>
    <row r="69" ht="18" customHeight="1">
      <c r="A69" s="4" t="inlineStr">
        <is>
          <t>FE-067</t>
        </is>
      </c>
      <c r="B69" s="5" t="n">
        <v>45989</v>
      </c>
      <c r="C69" s="4" t="inlineStr">
        <is>
          <t>Hotfoot Hana</t>
        </is>
      </c>
      <c r="D69" s="4" t="inlineStr">
        <is>
          <t>Northern Peaks</t>
        </is>
      </c>
      <c r="E69" s="4" t="inlineStr">
        <is>
          <t>Oversized</t>
        </is>
      </c>
      <c r="F69" s="6" t="n">
        <v>450</v>
      </c>
      <c r="G69" s="6" t="n">
        <v>21</v>
      </c>
      <c r="H69" s="6" t="n">
        <v>515</v>
      </c>
      <c r="I69" s="6" t="n">
        <v>5</v>
      </c>
      <c r="J69" s="4" t="inlineStr">
        <is>
          <t>Delivered</t>
        </is>
      </c>
      <c r="K69" s="7">
        <f>IF(H69&lt;150,"Review","OK")</f>
        <v/>
      </c>
    </row>
    <row r="70" ht="18" customHeight="1">
      <c r="A70" s="8" t="inlineStr">
        <is>
          <t>FE-068</t>
        </is>
      </c>
      <c r="B70" s="9" t="n">
        <v>45993</v>
      </c>
      <c r="C70" s="8" t="inlineStr">
        <is>
          <t>Brimstone Bill</t>
        </is>
      </c>
      <c r="D70" s="8" t="inlineStr">
        <is>
          <t>Sunken Swamp</t>
        </is>
      </c>
      <c r="E70" s="8" t="inlineStr">
        <is>
          <t>Fragile</t>
        </is>
      </c>
      <c r="F70" s="10" t="n">
        <v>135</v>
      </c>
      <c r="G70" s="10" t="n">
        <v>10</v>
      </c>
      <c r="H70" s="10" t="n">
        <v>192</v>
      </c>
      <c r="I70" s="10" t="n">
        <v>3</v>
      </c>
      <c r="J70" s="8" t="inlineStr">
        <is>
          <t>Delivered</t>
        </is>
      </c>
      <c r="K70" s="11">
        <f>IF(H70&lt;150,"Review","OK")</f>
        <v/>
      </c>
    </row>
    <row r="71" ht="18" customHeight="1">
      <c r="A71" s="4" t="inlineStr">
        <is>
          <t>FE-069</t>
        </is>
      </c>
      <c r="B71" s="5" t="n">
        <v>45996</v>
      </c>
      <c r="C71" s="4" t="inlineStr">
        <is>
          <t>Puff McGuffin</t>
        </is>
      </c>
      <c r="D71" s="4" t="inlineStr">
        <is>
          <t>Crystal Coast</t>
        </is>
      </c>
      <c r="E71" s="4" t="inlineStr">
        <is>
          <t>Standard</t>
        </is>
      </c>
      <c r="F71" s="6" t="n">
        <v>70</v>
      </c>
      <c r="G71" s="6" t="n">
        <v>11</v>
      </c>
      <c r="H71" s="6" t="n">
        <v>102</v>
      </c>
      <c r="I71" s="6" t="n">
        <v>2</v>
      </c>
      <c r="J71" s="4" t="inlineStr">
        <is>
          <t>Delayed</t>
        </is>
      </c>
      <c r="K71" s="7">
        <f>IF(H71&lt;150,"Review","OK")</f>
        <v/>
      </c>
    </row>
    <row r="72" ht="18" customHeight="1">
      <c r="A72" s="8" t="inlineStr">
        <is>
          <t>FE-070</t>
        </is>
      </c>
      <c r="B72" s="9" t="n">
        <v>45999</v>
      </c>
      <c r="C72" s="8" t="inlineStr">
        <is>
          <t>Cinderella Vex</t>
        </is>
      </c>
      <c r="D72" s="8" t="inlineStr">
        <is>
          <t>Ironforge Pass</t>
        </is>
      </c>
      <c r="E72" s="8" t="inlineStr">
        <is>
          <t>Express</t>
        </is>
      </c>
      <c r="F72" s="10" t="n">
        <v>380</v>
      </c>
      <c r="G72" s="10" t="n">
        <v>15</v>
      </c>
      <c r="H72" s="10" t="n">
        <v>435</v>
      </c>
      <c r="I72" s="10" t="n">
        <v>5</v>
      </c>
      <c r="J72" s="8" t="inlineStr">
        <is>
          <t>Delivered</t>
        </is>
      </c>
      <c r="K72" s="11">
        <f>IF(H72&lt;150,"Review","OK")</f>
        <v/>
      </c>
    </row>
    <row r="73" ht="18" customHeight="1">
      <c r="A73" s="4" t="inlineStr">
        <is>
          <t>FE-071</t>
        </is>
      </c>
      <c r="B73" s="5" t="n">
        <v>46002</v>
      </c>
      <c r="C73" s="4" t="inlineStr">
        <is>
          <t>Hotfoot Hana</t>
        </is>
      </c>
      <c r="D73" s="4" t="inlineStr">
        <is>
          <t>Misty Vale</t>
        </is>
      </c>
      <c r="E73" s="4" t="inlineStr">
        <is>
          <t>Standard</t>
        </is>
      </c>
      <c r="F73" s="6" t="n">
        <v>230</v>
      </c>
      <c r="G73" s="6" t="n">
        <v>11</v>
      </c>
      <c r="H73" s="6" t="n">
        <v>295</v>
      </c>
      <c r="I73" s="6" t="n">
        <v>4</v>
      </c>
      <c r="J73" s="4" t="inlineStr">
        <is>
          <t>Delivered</t>
        </is>
      </c>
      <c r="K73" s="7">
        <f>IF(H73&lt;150,"Review","OK")</f>
        <v/>
      </c>
    </row>
    <row r="74" ht="18" customHeight="1">
      <c r="A74" s="8" t="inlineStr">
        <is>
          <t>FE-072</t>
        </is>
      </c>
      <c r="B74" s="9" t="n">
        <v>46005</v>
      </c>
      <c r="C74" s="8" t="inlineStr">
        <is>
          <t>Scorch the Magnificent</t>
        </is>
      </c>
      <c r="D74" s="8" t="inlineStr">
        <is>
          <t>Northern Peaks</t>
        </is>
      </c>
      <c r="E74" s="8" t="inlineStr">
        <is>
          <t>Oversized</t>
        </is>
      </c>
      <c r="F74" s="10" t="n">
        <v>350</v>
      </c>
      <c r="G74" s="10" t="n">
        <v>20</v>
      </c>
      <c r="H74" s="10" t="n">
        <v>418</v>
      </c>
      <c r="I74" s="10" t="n">
        <v>4</v>
      </c>
      <c r="J74" s="8" t="inlineStr">
        <is>
          <t>Delivered</t>
        </is>
      </c>
      <c r="K74" s="11">
        <f>IF(H74&lt;150,"Review","OK")</f>
        <v/>
      </c>
    </row>
    <row r="75" ht="18" customHeight="1">
      <c r="A75" s="4" t="inlineStr">
        <is>
          <t>FE-073</t>
        </is>
      </c>
      <c r="B75" s="5" t="n">
        <v>46008</v>
      </c>
      <c r="C75" s="4" t="inlineStr">
        <is>
          <t>Brimstone Bill</t>
        </is>
      </c>
      <c r="D75" s="4" t="inlineStr">
        <is>
          <t>Crystal Coast</t>
        </is>
      </c>
      <c r="E75" s="4" t="inlineStr">
        <is>
          <t>Fragile</t>
        </is>
      </c>
      <c r="F75" s="6" t="n">
        <v>95</v>
      </c>
      <c r="G75" s="6" t="n">
        <v>12</v>
      </c>
      <c r="H75" s="6" t="n">
        <v>140</v>
      </c>
      <c r="I75" s="6" t="n">
        <v>3</v>
      </c>
      <c r="J75" s="4" t="inlineStr">
        <is>
          <t>Delivered</t>
        </is>
      </c>
      <c r="K75" s="7">
        <f>IF(H75&lt;150,"Review","OK")</f>
        <v/>
      </c>
    </row>
    <row r="76" ht="18" customHeight="1">
      <c r="A76" s="8" t="inlineStr">
        <is>
          <t>FE-074</t>
        </is>
      </c>
      <c r="B76" s="9" t="n">
        <v>46011</v>
      </c>
      <c r="C76" s="8" t="inlineStr">
        <is>
          <t>Puff McGuffin</t>
        </is>
      </c>
      <c r="D76" s="8" t="inlineStr">
        <is>
          <t>Misty Vale</t>
        </is>
      </c>
      <c r="E76" s="8" t="inlineStr">
        <is>
          <t>Standard</t>
        </is>
      </c>
      <c r="F76" s="10" t="n">
        <v>115</v>
      </c>
      <c r="G76" s="10" t="n">
        <v>17</v>
      </c>
      <c r="H76" s="10" t="n">
        <v>160</v>
      </c>
      <c r="I76" s="10" t="n">
        <v>2</v>
      </c>
      <c r="J76" s="8" t="inlineStr">
        <is>
          <t>Delayed</t>
        </is>
      </c>
      <c r="K76" s="11">
        <f>IF(H76&lt;150,"Review","OK")</f>
        <v/>
      </c>
    </row>
    <row r="77" ht="18" customHeight="1">
      <c r="A77" s="4" t="inlineStr">
        <is>
          <t>FE-075</t>
        </is>
      </c>
      <c r="B77" s="5" t="n">
        <v>46019</v>
      </c>
      <c r="C77" s="4" t="inlineStr">
        <is>
          <t>Cinderella Vex</t>
        </is>
      </c>
      <c r="D77" s="4" t="inlineStr">
        <is>
          <t>Northern Peaks</t>
        </is>
      </c>
      <c r="E77" s="4" t="inlineStr">
        <is>
          <t>Express</t>
        </is>
      </c>
      <c r="F77" s="6" t="n">
        <v>420</v>
      </c>
      <c r="G77" s="6" t="n">
        <v>15</v>
      </c>
      <c r="H77" s="6" t="n">
        <v>468</v>
      </c>
      <c r="I77" s="6" t="n">
        <v>5</v>
      </c>
      <c r="J77" s="4" t="inlineStr">
        <is>
          <t>Delivered</t>
        </is>
      </c>
      <c r="K77" s="7">
        <f>IF(H77&lt;150,"Review","OK")</f>
        <v/>
      </c>
    </row>
  </sheetData>
  <autoFilter ref="A2:J7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>
      <c r="A1" s="12" t="inlineStr">
        <is>
          <t>Revenue Summary by Rider — feeds the Dashboard</t>
        </is>
      </c>
    </row>
    <row r="2">
      <c r="A2" s="2" t="inlineStr">
        <is>
          <t>DragonRider</t>
        </is>
      </c>
      <c r="B2" s="2" t="inlineStr">
        <is>
          <t>TotalRevenue</t>
        </is>
      </c>
      <c r="C2" s="2" t="inlineStr">
        <is>
          <t>DeliveryCount</t>
        </is>
      </c>
      <c r="D2" s="2" t="inlineStr">
        <is>
          <t>AvgRevenue</t>
        </is>
      </c>
    </row>
    <row r="3">
      <c r="A3" s="13" t="inlineStr">
        <is>
          <t>Brimstone Bill</t>
        </is>
      </c>
      <c r="B3" s="13">
        <f>SUMIF(DeliveryData!C3:C77,A3,DeliveryData!H3:H77)</f>
        <v/>
      </c>
      <c r="C3" s="13">
        <f>COUNTIF(DeliveryData!C3:C77,A3)</f>
        <v/>
      </c>
      <c r="D3" s="13">
        <f>IFERROR(B3/C3,0)</f>
        <v/>
      </c>
    </row>
    <row r="4">
      <c r="A4" s="14" t="inlineStr">
        <is>
          <t>Cinderella Vex</t>
        </is>
      </c>
      <c r="B4" s="14">
        <f>SUMIF(DeliveryData!C3:C77,A4,DeliveryData!H3:H77)</f>
        <v/>
      </c>
      <c r="C4" s="14">
        <f>COUNTIF(DeliveryData!C3:C77,A4)</f>
        <v/>
      </c>
      <c r="D4" s="14">
        <f>IFERROR(B4/C4,0)</f>
        <v/>
      </c>
    </row>
    <row r="5">
      <c r="A5" s="13" t="inlineStr">
        <is>
          <t>Hotfoot Hana</t>
        </is>
      </c>
      <c r="B5" s="13">
        <f>SUMIF(DeliveryData!C3:C77,A5,DeliveryData!H3:H77)</f>
        <v/>
      </c>
      <c r="C5" s="13">
        <f>COUNTIF(DeliveryData!C3:C77,A5)</f>
        <v/>
      </c>
      <c r="D5" s="13">
        <f>IFERROR(B5/C5,0)</f>
        <v/>
      </c>
    </row>
    <row r="6">
      <c r="A6" s="14" t="inlineStr">
        <is>
          <t>Puff McGuffin</t>
        </is>
      </c>
      <c r="B6" s="14">
        <f>SUMIF(DeliveryData!C3:C77,A6,DeliveryData!H3:H77)</f>
        <v/>
      </c>
      <c r="C6" s="14">
        <f>COUNTIF(DeliveryData!C3:C77,A6)</f>
        <v/>
      </c>
      <c r="D6" s="14">
        <f>IFERROR(B6/C6,0)</f>
        <v/>
      </c>
    </row>
    <row r="7">
      <c r="A7" s="13" t="inlineStr">
        <is>
          <t>Scorch the Magnificent</t>
        </is>
      </c>
      <c r="B7" s="13">
        <f>SUMIF(DeliveryData!C3:C77,A7,DeliveryData!H3:H77)</f>
        <v/>
      </c>
      <c r="C7" s="13">
        <f>COUNTIF(DeliveryData!C3:C77,A7)</f>
        <v/>
      </c>
      <c r="D7" s="13">
        <f>IFERROR(B7/C7,0)</f>
        <v/>
      </c>
    </row>
    <row r="8">
      <c r="A8" s="15" t="inlineStr">
        <is>
          <t>TOTAL</t>
        </is>
      </c>
      <c r="B8" s="15">
        <f>SUM(B3:B7)</f>
        <v/>
      </c>
      <c r="C8" s="15">
        <f>SUM(C3:C7)</f>
        <v/>
      </c>
      <c r="D8" s="15">
        <f>IFERROR(B8/C8,0)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2" t="inlineStr">
        <is>
          <t>Distance vs Revenue — data for scatter chart and trendline</t>
        </is>
      </c>
    </row>
    <row r="2">
      <c r="A2" s="2" t="inlineStr">
        <is>
          <t>DeliveryID</t>
        </is>
      </c>
      <c r="B2" s="2" t="inlineStr">
        <is>
          <t>DistanceKm</t>
        </is>
      </c>
      <c r="C2" s="2" t="inlineStr">
        <is>
          <t>RevenueGP</t>
        </is>
      </c>
    </row>
    <row r="3">
      <c r="A3" s="16" t="inlineStr">
        <is>
          <t>FE-001</t>
        </is>
      </c>
      <c r="B3" s="17" t="n">
        <v>380</v>
      </c>
      <c r="C3" s="17" t="n">
        <v>410</v>
      </c>
    </row>
    <row r="4">
      <c r="A4" s="18" t="inlineStr">
        <is>
          <t>FE-002</t>
        </is>
      </c>
      <c r="B4" s="19" t="n">
        <v>120</v>
      </c>
      <c r="C4" s="19" t="n">
        <v>185</v>
      </c>
    </row>
    <row r="5">
      <c r="A5" s="16" t="inlineStr">
        <is>
          <t>FE-003</t>
        </is>
      </c>
      <c r="B5" s="17" t="n">
        <v>80</v>
      </c>
      <c r="C5" s="17" t="n">
        <v>115</v>
      </c>
    </row>
    <row r="6">
      <c r="A6" s="18" t="inlineStr">
        <is>
          <t>FE-004</t>
        </is>
      </c>
      <c r="B6" s="19" t="n">
        <v>200</v>
      </c>
      <c r="C6" s="19" t="n">
        <v>260</v>
      </c>
    </row>
    <row r="7">
      <c r="A7" s="16" t="inlineStr">
        <is>
          <t>FE-005</t>
        </is>
      </c>
      <c r="B7" s="17" t="n">
        <v>290</v>
      </c>
      <c r="C7" s="17" t="n">
        <v>350</v>
      </c>
    </row>
    <row r="8">
      <c r="A8" s="18" t="inlineStr">
        <is>
          <t>FE-006</t>
        </is>
      </c>
      <c r="B8" s="19" t="n">
        <v>420</v>
      </c>
      <c r="C8" s="19" t="n">
        <v>445</v>
      </c>
    </row>
    <row r="9">
      <c r="A9" s="16" t="inlineStr">
        <is>
          <t>FE-007</t>
        </is>
      </c>
      <c r="B9" s="17" t="n">
        <v>60</v>
      </c>
      <c r="C9" s="17" t="n">
        <v>98</v>
      </c>
    </row>
    <row r="10">
      <c r="A10" s="18" t="inlineStr">
        <is>
          <t>FE-008</t>
        </is>
      </c>
      <c r="B10" s="19" t="n">
        <v>340</v>
      </c>
      <c r="C10" s="19" t="n">
        <v>390</v>
      </c>
    </row>
    <row r="11">
      <c r="A11" s="16" t="inlineStr">
        <is>
          <t>FE-009</t>
        </is>
      </c>
      <c r="B11" s="17" t="n">
        <v>150</v>
      </c>
      <c r="C11" s="17" t="n">
        <v>230</v>
      </c>
    </row>
    <row r="12">
      <c r="A12" s="18" t="inlineStr">
        <is>
          <t>FE-010</t>
        </is>
      </c>
      <c r="B12" s="19" t="n">
        <v>170</v>
      </c>
      <c r="C12" s="19" t="n">
        <v>220</v>
      </c>
    </row>
    <row r="13">
      <c r="A13" s="16" t="inlineStr">
        <is>
          <t>FE-011</t>
        </is>
      </c>
      <c r="B13" s="17" t="n">
        <v>310</v>
      </c>
      <c r="C13" s="17" t="n">
        <v>360</v>
      </c>
    </row>
    <row r="14">
      <c r="A14" s="18" t="inlineStr">
        <is>
          <t>FE-012</t>
        </is>
      </c>
      <c r="B14" s="19" t="n">
        <v>190</v>
      </c>
      <c r="C14" s="19" t="n">
        <v>245</v>
      </c>
    </row>
    <row r="15">
      <c r="A15" s="16" t="inlineStr">
        <is>
          <t>FE-013</t>
        </is>
      </c>
      <c r="B15" s="17" t="n">
        <v>90</v>
      </c>
      <c r="C15" s="17" t="n">
        <v>130</v>
      </c>
    </row>
    <row r="16">
      <c r="A16" s="18" t="inlineStr">
        <is>
          <t>FE-014</t>
        </is>
      </c>
      <c r="B16" s="19" t="n">
        <v>400</v>
      </c>
      <c r="C16" s="19" t="n">
        <v>460</v>
      </c>
    </row>
    <row r="17">
      <c r="A17" s="16" t="inlineStr">
        <is>
          <t>FE-015</t>
        </is>
      </c>
      <c r="B17" s="17" t="n">
        <v>140</v>
      </c>
      <c r="C17" s="17" t="n">
        <v>200</v>
      </c>
    </row>
    <row r="18">
      <c r="A18" s="18" t="inlineStr">
        <is>
          <t>FE-016</t>
        </is>
      </c>
      <c r="B18" s="19" t="n">
        <v>440</v>
      </c>
      <c r="C18" s="19" t="n">
        <v>475</v>
      </c>
    </row>
    <row r="19">
      <c r="A19" s="16" t="inlineStr">
        <is>
          <t>FE-017</t>
        </is>
      </c>
      <c r="B19" s="17" t="n">
        <v>100</v>
      </c>
      <c r="C19" s="17" t="n">
        <v>145</v>
      </c>
    </row>
    <row r="20">
      <c r="A20" s="18" t="inlineStr">
        <is>
          <t>FE-018</t>
        </is>
      </c>
      <c r="B20" s="19" t="n">
        <v>160</v>
      </c>
      <c r="C20" s="19" t="n">
        <v>210</v>
      </c>
    </row>
    <row r="21">
      <c r="A21" s="16" t="inlineStr">
        <is>
          <t>FE-019</t>
        </is>
      </c>
      <c r="B21" s="17" t="n">
        <v>350</v>
      </c>
      <c r="C21" s="17" t="n">
        <v>395</v>
      </c>
    </row>
    <row r="22">
      <c r="A22" s="18" t="inlineStr">
        <is>
          <t>FE-020</t>
        </is>
      </c>
      <c r="B22" s="19" t="n">
        <v>130</v>
      </c>
      <c r="C22" s="19" t="n">
        <v>175</v>
      </c>
    </row>
    <row r="23">
      <c r="A23" s="16" t="inlineStr">
        <is>
          <t>FE-021</t>
        </is>
      </c>
      <c r="B23" s="17" t="n">
        <v>260</v>
      </c>
      <c r="C23" s="17" t="n">
        <v>335</v>
      </c>
    </row>
    <row r="24">
      <c r="A24" s="18" t="inlineStr">
        <is>
          <t>FE-022</t>
        </is>
      </c>
      <c r="B24" s="19" t="n">
        <v>70</v>
      </c>
      <c r="C24" s="19" t="n">
        <v>108</v>
      </c>
    </row>
    <row r="25">
      <c r="A25" s="16" t="inlineStr">
        <is>
          <t>FE-023</t>
        </is>
      </c>
      <c r="B25" s="17" t="n">
        <v>210</v>
      </c>
      <c r="C25" s="17" t="n">
        <v>165</v>
      </c>
    </row>
    <row r="26">
      <c r="A26" s="18" t="inlineStr">
        <is>
          <t>FE-024</t>
        </is>
      </c>
      <c r="B26" s="19" t="n">
        <v>180</v>
      </c>
      <c r="C26" s="19" t="n">
        <v>265</v>
      </c>
    </row>
    <row r="27">
      <c r="A27" s="16" t="inlineStr">
        <is>
          <t>FE-025</t>
        </is>
      </c>
      <c r="B27" s="17" t="n">
        <v>320</v>
      </c>
      <c r="C27" s="17" t="n">
        <v>375</v>
      </c>
    </row>
    <row r="28">
      <c r="A28" s="18" t="inlineStr">
        <is>
          <t>FE-026</t>
        </is>
      </c>
      <c r="B28" s="19" t="n">
        <v>460</v>
      </c>
      <c r="C28" s="19" t="n">
        <v>510</v>
      </c>
    </row>
    <row r="29">
      <c r="A29" s="16" t="inlineStr">
        <is>
          <t>FE-027</t>
        </is>
      </c>
      <c r="B29" s="17" t="n">
        <v>290</v>
      </c>
      <c r="C29" s="17" t="n">
        <v>370</v>
      </c>
    </row>
    <row r="30">
      <c r="A30" s="18" t="inlineStr">
        <is>
          <t>FE-028</t>
        </is>
      </c>
      <c r="B30" s="19" t="n">
        <v>330</v>
      </c>
      <c r="C30" s="19" t="n">
        <v>385</v>
      </c>
    </row>
    <row r="31">
      <c r="A31" s="16" t="inlineStr">
        <is>
          <t>FE-029</t>
        </is>
      </c>
      <c r="B31" s="17" t="n">
        <v>65</v>
      </c>
      <c r="C31" s="17" t="n">
        <v>95</v>
      </c>
    </row>
    <row r="32">
      <c r="A32" s="18" t="inlineStr">
        <is>
          <t>FE-030</t>
        </is>
      </c>
      <c r="B32" s="19" t="n">
        <v>240</v>
      </c>
      <c r="C32" s="19" t="n">
        <v>300</v>
      </c>
    </row>
    <row r="33">
      <c r="A33" s="16" t="inlineStr">
        <is>
          <t>FE-031</t>
        </is>
      </c>
      <c r="B33" s="17" t="n">
        <v>270</v>
      </c>
      <c r="C33" s="17" t="n">
        <v>340</v>
      </c>
    </row>
    <row r="34">
      <c r="A34" s="18" t="inlineStr">
        <is>
          <t>FE-032</t>
        </is>
      </c>
      <c r="B34" s="19" t="n">
        <v>145</v>
      </c>
      <c r="C34" s="19" t="n">
        <v>198</v>
      </c>
    </row>
    <row r="35">
      <c r="A35" s="16" t="inlineStr">
        <is>
          <t>FE-033</t>
        </is>
      </c>
      <c r="B35" s="17" t="n">
        <v>360</v>
      </c>
      <c r="C35" s="17" t="n">
        <v>430</v>
      </c>
    </row>
    <row r="36">
      <c r="A36" s="18" t="inlineStr">
        <is>
          <t>FE-034</t>
        </is>
      </c>
      <c r="B36" s="19" t="n">
        <v>470</v>
      </c>
      <c r="C36" s="19" t="n">
        <v>520</v>
      </c>
    </row>
    <row r="37">
      <c r="A37" s="16" t="inlineStr">
        <is>
          <t>FE-035</t>
        </is>
      </c>
      <c r="B37" s="17" t="n">
        <v>280</v>
      </c>
      <c r="C37" s="17" t="n">
        <v>340</v>
      </c>
    </row>
    <row r="38">
      <c r="A38" s="18" t="inlineStr">
        <is>
          <t>FE-036</t>
        </is>
      </c>
      <c r="B38" s="19" t="n">
        <v>300</v>
      </c>
      <c r="C38" s="19" t="n">
        <v>368</v>
      </c>
    </row>
    <row r="39">
      <c r="A39" s="16" t="inlineStr">
        <is>
          <t>FE-037</t>
        </is>
      </c>
      <c r="B39" s="17" t="n">
        <v>50</v>
      </c>
      <c r="C39" s="17" t="n">
        <v>88</v>
      </c>
    </row>
    <row r="40">
      <c r="A40" s="18" t="inlineStr">
        <is>
          <t>FE-038</t>
        </is>
      </c>
      <c r="B40" s="19" t="n">
        <v>195</v>
      </c>
      <c r="C40" s="19" t="n">
        <v>250</v>
      </c>
    </row>
    <row r="41">
      <c r="A41" s="16" t="inlineStr">
        <is>
          <t>FE-039</t>
        </is>
      </c>
      <c r="B41" s="17" t="n">
        <v>110</v>
      </c>
      <c r="C41" s="17" t="n">
        <v>175</v>
      </c>
    </row>
    <row r="42">
      <c r="A42" s="18" t="inlineStr">
        <is>
          <t>FE-040</t>
        </is>
      </c>
      <c r="B42" s="19" t="n">
        <v>320</v>
      </c>
      <c r="C42" s="19" t="n">
        <v>400</v>
      </c>
    </row>
    <row r="43">
      <c r="A43" s="16" t="inlineStr">
        <is>
          <t>FE-041</t>
        </is>
      </c>
      <c r="B43" s="17" t="n">
        <v>390</v>
      </c>
      <c r="C43" s="17" t="n">
        <v>455</v>
      </c>
    </row>
    <row r="44">
      <c r="A44" s="18" t="inlineStr">
        <is>
          <t>FE-042</t>
        </is>
      </c>
      <c r="B44" s="19" t="n">
        <v>22</v>
      </c>
      <c r="C44" s="19" t="n">
        <v>95</v>
      </c>
    </row>
    <row r="45">
      <c r="A45" s="16" t="inlineStr">
        <is>
          <t>FE-043</t>
        </is>
      </c>
      <c r="B45" s="17" t="n">
        <v>480</v>
      </c>
      <c r="C45" s="17" t="n">
        <v>530</v>
      </c>
    </row>
    <row r="46">
      <c r="A46" s="18" t="inlineStr">
        <is>
          <t>FE-044</t>
        </is>
      </c>
      <c r="B46" s="19" t="n">
        <v>220</v>
      </c>
      <c r="C46" s="19" t="n">
        <v>278</v>
      </c>
    </row>
    <row r="47">
      <c r="A47" s="16" t="inlineStr">
        <is>
          <t>FE-045</t>
        </is>
      </c>
      <c r="B47" s="17" t="n">
        <v>155</v>
      </c>
      <c r="C47" s="17" t="n">
        <v>215</v>
      </c>
    </row>
    <row r="48">
      <c r="A48" s="18" t="inlineStr">
        <is>
          <t>FE-046</t>
        </is>
      </c>
      <c r="B48" s="19" t="n">
        <v>75</v>
      </c>
      <c r="C48" s="19" t="n">
        <v>110</v>
      </c>
    </row>
    <row r="49">
      <c r="A49" s="16" t="inlineStr">
        <is>
          <t>FE-047</t>
        </is>
      </c>
      <c r="B49" s="17" t="n">
        <v>340</v>
      </c>
      <c r="C49" s="17" t="n">
        <v>398</v>
      </c>
    </row>
    <row r="50">
      <c r="A50" s="18" t="inlineStr">
        <is>
          <t>FE-048</t>
        </is>
      </c>
      <c r="B50" s="19" t="n">
        <v>410</v>
      </c>
      <c r="C50" s="19" t="n">
        <v>490</v>
      </c>
    </row>
    <row r="51">
      <c r="A51" s="16" t="inlineStr">
        <is>
          <t>FE-049</t>
        </is>
      </c>
      <c r="B51" s="17" t="n">
        <v>260</v>
      </c>
      <c r="C51" s="17" t="n">
        <v>318</v>
      </c>
    </row>
    <row r="52">
      <c r="A52" s="18" t="inlineStr">
        <is>
          <t>FE-050</t>
        </is>
      </c>
      <c r="B52" s="19" t="n">
        <v>285</v>
      </c>
      <c r="C52" s="19" t="n">
        <v>350</v>
      </c>
    </row>
    <row r="53">
      <c r="A53" s="16" t="inlineStr">
        <is>
          <t>FE-051</t>
        </is>
      </c>
      <c r="B53" s="17" t="n">
        <v>370</v>
      </c>
      <c r="C53" s="17" t="n">
        <v>420</v>
      </c>
    </row>
    <row r="54">
      <c r="A54" s="18" t="inlineStr">
        <is>
          <t>FE-052</t>
        </is>
      </c>
      <c r="B54" s="19" t="n">
        <v>195</v>
      </c>
      <c r="C54" s="19" t="n">
        <v>258</v>
      </c>
    </row>
    <row r="55">
      <c r="A55" s="16" t="inlineStr">
        <is>
          <t>FE-053</t>
        </is>
      </c>
      <c r="B55" s="17" t="n">
        <v>58</v>
      </c>
      <c r="C55" s="17" t="n">
        <v>92</v>
      </c>
    </row>
    <row r="56">
      <c r="A56" s="18" t="inlineStr">
        <is>
          <t>FE-054</t>
        </is>
      </c>
      <c r="B56" s="19" t="n">
        <v>310</v>
      </c>
      <c r="C56" s="19" t="n">
        <v>385</v>
      </c>
    </row>
    <row r="57">
      <c r="A57" s="16" t="inlineStr">
        <is>
          <t>FE-055</t>
        </is>
      </c>
      <c r="B57" s="17" t="n">
        <v>175</v>
      </c>
      <c r="C57" s="17" t="n">
        <v>228</v>
      </c>
    </row>
    <row r="58">
      <c r="A58" s="18" t="inlineStr">
        <is>
          <t>FE-056</t>
        </is>
      </c>
      <c r="B58" s="19" t="n">
        <v>90</v>
      </c>
      <c r="C58" s="19" t="n">
        <v>132</v>
      </c>
    </row>
    <row r="59">
      <c r="A59" s="16" t="inlineStr">
        <is>
          <t>FE-057</t>
        </is>
      </c>
      <c r="B59" s="17" t="n">
        <v>400</v>
      </c>
      <c r="C59" s="17" t="n">
        <v>445</v>
      </c>
    </row>
    <row r="60">
      <c r="A60" s="18" t="inlineStr">
        <is>
          <t>FE-058</t>
        </is>
      </c>
      <c r="B60" s="19" t="n">
        <v>240</v>
      </c>
      <c r="C60" s="19" t="n">
        <v>298</v>
      </c>
    </row>
    <row r="61">
      <c r="A61" s="16" t="inlineStr">
        <is>
          <t>FE-059</t>
        </is>
      </c>
      <c r="B61" s="17" t="n">
        <v>110</v>
      </c>
      <c r="C61" s="17" t="n">
        <v>150</v>
      </c>
    </row>
    <row r="62">
      <c r="A62" s="18" t="inlineStr">
        <is>
          <t>FE-060</t>
        </is>
      </c>
      <c r="B62" s="19" t="n">
        <v>270</v>
      </c>
      <c r="C62" s="19" t="n">
        <v>338</v>
      </c>
    </row>
    <row r="63">
      <c r="A63" s="16" t="inlineStr">
        <is>
          <t>FE-061</t>
        </is>
      </c>
      <c r="B63" s="17" t="n">
        <v>105</v>
      </c>
      <c r="C63" s="17" t="n">
        <v>155</v>
      </c>
    </row>
    <row r="64">
      <c r="A64" s="18" t="inlineStr">
        <is>
          <t>FE-062</t>
        </is>
      </c>
      <c r="B64" s="19" t="n">
        <v>360</v>
      </c>
      <c r="C64" s="19" t="n">
        <v>408</v>
      </c>
    </row>
    <row r="65">
      <c r="A65" s="16" t="inlineStr">
        <is>
          <t>FE-063</t>
        </is>
      </c>
      <c r="B65" s="17" t="n">
        <v>200</v>
      </c>
      <c r="C65" s="17" t="n">
        <v>255</v>
      </c>
    </row>
    <row r="66">
      <c r="A66" s="18" t="inlineStr">
        <is>
          <t>FE-064</t>
        </is>
      </c>
      <c r="B66" s="19" t="n">
        <v>85</v>
      </c>
      <c r="C66" s="19" t="n">
        <v>120</v>
      </c>
    </row>
    <row r="67">
      <c r="A67" s="16" t="inlineStr">
        <is>
          <t>FE-065</t>
        </is>
      </c>
      <c r="B67" s="17" t="n">
        <v>430</v>
      </c>
      <c r="C67" s="17" t="n">
        <v>478</v>
      </c>
    </row>
    <row r="68">
      <c r="A68" s="18" t="inlineStr">
        <is>
          <t>FE-066</t>
        </is>
      </c>
      <c r="B68" s="19" t="n">
        <v>160</v>
      </c>
      <c r="C68" s="19" t="n">
        <v>218</v>
      </c>
    </row>
    <row r="69">
      <c r="A69" s="16" t="inlineStr">
        <is>
          <t>FE-067</t>
        </is>
      </c>
      <c r="B69" s="17" t="n">
        <v>450</v>
      </c>
      <c r="C69" s="17" t="n">
        <v>515</v>
      </c>
    </row>
    <row r="70">
      <c r="A70" s="18" t="inlineStr">
        <is>
          <t>FE-068</t>
        </is>
      </c>
      <c r="B70" s="19" t="n">
        <v>135</v>
      </c>
      <c r="C70" s="19" t="n">
        <v>192</v>
      </c>
    </row>
    <row r="71">
      <c r="A71" s="16" t="inlineStr">
        <is>
          <t>FE-069</t>
        </is>
      </c>
      <c r="B71" s="17" t="n">
        <v>70</v>
      </c>
      <c r="C71" s="17" t="n">
        <v>102</v>
      </c>
    </row>
    <row r="72">
      <c r="A72" s="18" t="inlineStr">
        <is>
          <t>FE-070</t>
        </is>
      </c>
      <c r="B72" s="19" t="n">
        <v>380</v>
      </c>
      <c r="C72" s="19" t="n">
        <v>435</v>
      </c>
    </row>
    <row r="73">
      <c r="A73" s="16" t="inlineStr">
        <is>
          <t>FE-071</t>
        </is>
      </c>
      <c r="B73" s="17" t="n">
        <v>230</v>
      </c>
      <c r="C73" s="17" t="n">
        <v>295</v>
      </c>
    </row>
    <row r="74">
      <c r="A74" s="18" t="inlineStr">
        <is>
          <t>FE-072</t>
        </is>
      </c>
      <c r="B74" s="19" t="n">
        <v>350</v>
      </c>
      <c r="C74" s="19" t="n">
        <v>418</v>
      </c>
    </row>
    <row r="75">
      <c r="A75" s="16" t="inlineStr">
        <is>
          <t>FE-073</t>
        </is>
      </c>
      <c r="B75" s="17" t="n">
        <v>95</v>
      </c>
      <c r="C75" s="17" t="n">
        <v>140</v>
      </c>
    </row>
    <row r="76">
      <c r="A76" s="18" t="inlineStr">
        <is>
          <t>FE-074</t>
        </is>
      </c>
      <c r="B76" s="19" t="n">
        <v>115</v>
      </c>
      <c r="C76" s="19" t="n">
        <v>160</v>
      </c>
    </row>
    <row r="77">
      <c r="A77" s="16" t="inlineStr">
        <is>
          <t>FE-075</t>
        </is>
      </c>
      <c r="B77" s="17" t="n">
        <v>420</v>
      </c>
      <c r="C77" s="17" t="n">
        <v>468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 ht="40" customHeight="1">
      <c r="A1" s="20" t="inlineStr">
        <is>
          <t>DASHBOARD — Build your summary cards, charts, slicer and timeline here.</t>
        </is>
      </c>
    </row>
    <row r="3">
      <c r="A3" s="21" t="inlineStr">
        <is>
          <t>Follow the step-by-step instructions in workbook3_dashboard_trendline_interpretation.docx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2026-05-05T05:06:15Z</dcterms:created>
  <dcterms:modified xmlns:dcterms="http://purl.org/dc/terms/" xmlns:xsi="http://www.w3.org/2001/XMLSchema-instance" xsi:type="dcterms:W3CDTF">2026-05-05T05:06:15Z</dcterms:modified>
</cp:coreProperties>
</file>