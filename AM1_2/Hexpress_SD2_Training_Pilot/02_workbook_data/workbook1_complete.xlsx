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i val="1"/>
      <color rgb="FF404040"/>
      <sz val="9"/>
    </font>
    <font>
      <name val="Arial"/>
      <b val="1"/>
      <color rgb="FFFFFFFF"/>
      <sz val="11"/>
    </font>
    <font>
      <name val="Arial"/>
      <color rgb="FF000000"/>
      <sz val="10"/>
    </font>
    <font>
      <name val="Arial"/>
      <color rgb="FF000060"/>
      <sz val="10"/>
    </font>
    <font>
      <name val="Arial"/>
      <b val="1"/>
      <color rgb="FF000000"/>
      <sz val="10"/>
    </font>
    <font>
      <name val="Arial"/>
      <color rgb="FF000060"/>
      <sz val="9"/>
    </font>
  </fonts>
  <fills count="9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  <fill>
      <patternFill patternType="solid">
        <fgColor rgb="FFD5E8F8"/>
      </patternFill>
    </fill>
    <fill>
      <patternFill patternType="solid">
        <fgColor rgb="FFD5F0D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  <col width="12" customWidth="1" min="11" max="11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  <c r="K4" s="3" t="inlineStr">
        <is>
          <t>ReviewFlag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  <c r="K5" s="4">
        <f>IF(I5&lt;6,"Review","OK")</f>
        <v/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  <c r="K6" s="9">
        <f>IF(I6&lt;6,"Review","OK")</f>
        <v/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  <c r="K7" s="4">
        <f>IF(I7&lt;6,"Review","OK")</f>
        <v/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  <c r="K8" s="9">
        <f>IF(I8&lt;6,"Review","OK")</f>
        <v/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  <c r="K9" s="4">
        <f>IF(I9&lt;6,"Review","OK")</f>
        <v/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  <c r="K10" s="9">
        <f>IF(I10&lt;6,"Review","OK")</f>
        <v/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  <c r="K11" s="4">
        <f>IF(I11&lt;6,"Review","OK")</f>
        <v/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  <c r="K12" s="9">
        <f>IF(I12&lt;6,"Review","OK")</f>
        <v/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  <c r="K13" s="4">
        <f>IF(I13&lt;6,"Review","OK")</f>
        <v/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  <c r="K14" s="9">
        <f>IF(I14&lt;6,"Review","OK")</f>
        <v/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  <c r="K15" s="4">
        <f>IF(I15&lt;6,"Review","OK")</f>
        <v/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  <c r="K16" s="9">
        <f>IF(I16&lt;6,"Review","OK")</f>
        <v/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  <c r="K17" s="4">
        <f>IF(I17&lt;6,"Review","OK")</f>
        <v/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  <c r="K18" s="9">
        <f>IF(I18&lt;6,"Review","OK")</f>
        <v/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  <c r="K19" s="4">
        <f>IF(I19&lt;6,"Review","OK")</f>
        <v/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  <c r="K20" s="9">
        <f>IF(I20&lt;6,"Review","OK")</f>
        <v/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  <c r="K21" s="4">
        <f>IF(I21&lt;6,"Review","OK")</f>
        <v/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  <c r="K22" s="9">
        <f>IF(I22&lt;6,"Review","OK")</f>
        <v/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  <c r="K23" s="4">
        <f>IF(I23&lt;6,"Review","OK")</f>
        <v/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  <c r="K24" s="9">
        <f>IF(I24&lt;6,"Review","OK")</f>
        <v/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  <c r="K25" s="4">
        <f>IF(I25&lt;6,"Review","OK")</f>
        <v/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  <c r="K26" s="9">
        <f>IF(I26&lt;6,"Review","OK")</f>
        <v/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  <c r="K27" s="14">
        <f>IF(I27&lt;6,"Review","OK")</f>
        <v/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  <c r="K28" s="9">
        <f>IF(I28&lt;6,"Review","OK")</f>
        <v/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  <c r="K29" s="4">
        <f>IF(I29&lt;6,"Review","OK")</f>
        <v/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  <c r="K30" s="9">
        <f>IF(I30&lt;6,"Review","OK")</f>
        <v/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  <c r="K31" s="4">
        <f>IF(I31&lt;6,"Review","OK")</f>
        <v/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  <c r="K32" s="9">
        <f>IF(I32&lt;6,"Review","OK")</f>
        <v/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  <c r="K33" s="4">
        <f>IF(I33&lt;6,"Review","OK")</f>
        <v/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  <c r="K34" s="9">
        <f>IF(I34&lt;6,"Review","OK")</f>
        <v/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  <c r="K35" s="4">
        <f>IF(I35&lt;6,"Review","OK")</f>
        <v/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  <c r="K36" s="9">
        <f>IF(I36&lt;6,"Review","OK")</f>
        <v/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  <c r="K37" s="4">
        <f>IF(I37&lt;6,"Review","OK")</f>
        <v/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  <c r="K38" s="9">
        <f>IF(I38&lt;6,"Review","OK")</f>
        <v/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  <c r="K39" s="4">
        <f>IF(I39&lt;6,"Review","OK")</f>
        <v/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  <c r="K40" s="9">
        <f>IF(I40&lt;6,"Review","OK")</f>
        <v/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  <c r="K41" s="4">
        <f>IF(I41&lt;6,"Review","OK")</f>
        <v/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  <c r="K42" s="9">
        <f>IF(I42&lt;6,"Review","OK")</f>
        <v/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  <c r="K43" s="4">
        <f>IF(I43&lt;6,"Review","OK")</f>
        <v/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  <c r="K44" s="9">
        <f>IF(I44&lt;6,"Review","OK")</f>
        <v/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  <c r="K45" s="4">
        <f>IF(I45&lt;6,"Review","OK")</f>
        <v/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  <c r="K46" s="9">
        <f>IF(I46&lt;6,"Review","OK")</f>
        <v/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  <c r="K47" s="4">
        <f>IF(I47&lt;6,"Review","OK")</f>
        <v/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  <c r="K48" s="9">
        <f>IF(I48&lt;6,"Review","OK")</f>
        <v/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  <c r="K49" s="4">
        <f>IF(I49&lt;6,"Review","OK")</f>
        <v/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  <c r="K50" s="9">
        <f>IF(I50&lt;6,"Review","OK")</f>
        <v/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  <c r="K51" s="4">
        <f>IF(I51&lt;6,"Review","OK")</f>
        <v/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  <c r="K52" s="9">
        <f>IF(I52&lt;6,"Review","OK")</f>
        <v/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  <c r="K53" s="4">
        <f>IF(I53&lt;6,"Review","OK")</f>
        <v/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  <c r="K54" s="9">
        <f>IF(I54&lt;6,"Review","OK")</f>
        <v/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  <c r="K55" s="4">
        <f>IF(I55&lt;6,"Review","OK")</f>
        <v/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  <c r="K56" s="9">
        <f>IF(I56&lt;6,"Review","OK")</f>
        <v/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  <c r="K57" s="4">
        <f>IF(I57&lt;6,"Review","OK")</f>
        <v/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  <c r="K58" s="9">
        <f>IF(I58&lt;6,"Review","OK")</f>
        <v/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  <c r="K59" s="4">
        <f>IF(I59&lt;6,"Review","OK")</f>
        <v/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  <c r="K60" s="9">
        <f>IF(I60&lt;6,"Review","OK")</f>
        <v/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  <c r="K61" s="4">
        <f>IF(I61&lt;6,"Review","OK")</f>
        <v/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  <c r="K62" s="9">
        <f>IF(I62&lt;6,"Review","OK")</f>
        <v/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  <c r="K63" s="4">
        <f>IF(I63&lt;6,"Review","OK")</f>
        <v/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  <c r="K64" s="9">
        <f>IF(I64&lt;6,"Review","OK")</f>
        <v/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  <c r="K65" s="4">
        <f>IF(I65&lt;6,"Review","OK")</f>
        <v/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  <c r="K66" s="9">
        <f>IF(I66&lt;6,"Review","OK")</f>
        <v/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  <c r="K67" s="4">
        <f>IF(I67&lt;6,"Review","OK")</f>
        <v/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  <c r="K68" s="9">
        <f>IF(I68&lt;6,"Review","OK")</f>
        <v/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  <c r="K69" s="4">
        <f>IF(I69&lt;6,"Review","OK")</f>
        <v/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  <c r="K70" s="9">
        <f>IF(I70&lt;6,"Review","OK")</f>
        <v/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  <c r="K71" s="4">
        <f>IF(I71&lt;6,"Review","OK")</f>
        <v/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  <c r="K72" s="9">
        <f>IF(I72&lt;6,"Review","OK")</f>
        <v/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  <c r="K73" s="4">
        <f>IF(I73&lt;6,"Review","OK")</f>
        <v/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  <c r="K74" s="9">
        <f>IF(I74&lt;6,"Review","OK")</f>
        <v/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  <c r="K75" s="4">
        <f>IF(I75&lt;6,"Review","OK")</f>
        <v/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  <c r="K76" s="9">
        <f>IF(I76&lt;6,"Review","OK")</f>
        <v/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  <c r="K77" s="4">
        <f>IF(I77&lt;6,"Review","OK")</f>
        <v/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  <c r="K78" s="9">
        <f>IF(I78&lt;6,"Review","OK")</f>
        <v/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  <c r="K79" s="4">
        <f>IF(I79&lt;6,"Review","OK")</f>
        <v/>
      </c>
    </row>
  </sheetData>
  <mergeCells count="2">
    <mergeCell ref="A2:K2"/>
    <mergeCell ref="A1:K1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19" t="inlineStr">
        <is>
          <t>HEXPRESS DELIVERY CO. — Analysis Sheet — Workbook 1</t>
        </is>
      </c>
    </row>
    <row r="2" ht="16" customHeight="1">
      <c r="A2" s="20" t="inlineStr">
        <is>
          <t>Open: 02_workbook_data/workbook1_start.xlsx   |   Save completed work to: 02_workbook_data/workbook1_complete.xlsx</t>
        </is>
      </c>
    </row>
    <row r="3" ht="12" customHeight="1"/>
    <row r="4" ht="20" customHeight="1">
      <c r="A4" s="21" t="inlineStr">
        <is>
          <t xml:space="preserve">  SECTION 1 — SUMMARY STATISTICS</t>
        </is>
      </c>
    </row>
    <row r="5" ht="18" customHeight="1">
      <c r="A5" s="22" t="inlineStr">
        <is>
          <t xml:space="preserve">  Enter the formula shown in column B into column C on this sheet. Data is on the Deliveries sheet, rows 5 to 79.</t>
        </is>
      </c>
    </row>
    <row r="6" ht="8" customHeight="1"/>
    <row r="7" ht="20" customHeight="1">
      <c r="A7" s="23" t="inlineStr">
        <is>
          <t>Calculation</t>
        </is>
      </c>
      <c r="B7" s="23" t="inlineStr">
        <is>
          <t>Formula (type this in col C)</t>
        </is>
      </c>
      <c r="C7" s="3" t="inlineStr">
        <is>
          <t>Result</t>
        </is>
      </c>
    </row>
    <row r="8" ht="20" customHeight="1">
      <c r="A8" s="24" t="inlineStr">
        <is>
          <t>Total deliveries</t>
        </is>
      </c>
      <c r="B8" s="25">
        <f>COUNTA(Deliveries!A5:A79)</f>
        <v/>
      </c>
      <c r="C8" s="26" t="n">
        <v>75</v>
      </c>
    </row>
    <row r="9" ht="20" customHeight="1">
      <c r="A9" s="27" t="inlineStr">
        <is>
          <t>Total revenue (£)</t>
        </is>
      </c>
      <c r="B9" s="25">
        <f>SUM(Deliveries!J5:J79)</f>
        <v/>
      </c>
      <c r="C9" s="26" t="n">
        <v>1072.4</v>
      </c>
    </row>
    <row r="10" ht="20" customHeight="1">
      <c r="A10" s="24" t="inlineStr">
        <is>
          <t>Average customer score</t>
        </is>
      </c>
      <c r="B10" s="25">
        <f>AVERAGE(Deliveries!I5:I79)</f>
        <v/>
      </c>
      <c r="C10" s="26" t="n">
        <v>6.91</v>
      </c>
    </row>
    <row r="11" ht="20" customHeight="1">
      <c r="A11" s="27" t="inlineStr">
        <is>
          <t>Minimum delivery time (min)</t>
        </is>
      </c>
      <c r="B11" s="25">
        <f>MIN(Deliveries!G5:G79)</f>
        <v/>
      </c>
      <c r="C11" s="26" t="n">
        <v>15</v>
      </c>
    </row>
    <row r="12" ht="20" customHeight="1">
      <c r="A12" s="24" t="inlineStr">
        <is>
          <t>Maximum delivery time (min)</t>
        </is>
      </c>
      <c r="B12" s="25">
        <f>MAX(Deliveries!G5:G79)</f>
        <v/>
      </c>
      <c r="C12" s="26" t="n">
        <v>189</v>
      </c>
    </row>
    <row r="13" ht="12" customHeight="1"/>
    <row r="14" ht="20" customHeight="1">
      <c r="A14" s="21" t="inlineStr">
        <is>
          <t xml:space="preserve">  SECTION 2 — SINGLE CONDITION FORMULAS (COUNTIF / SUMIF / AVERAGEIF)</t>
        </is>
      </c>
    </row>
    <row r="15" ht="18" customHeight="1">
      <c r="A15" s="22" t="inlineStr">
        <is>
          <t xml:space="preserve">  These formulas answer one-condition questions. Enter each formula in column C.</t>
        </is>
      </c>
    </row>
    <row r="16" ht="8" customHeight="1"/>
    <row r="17" ht="22" customHeight="1">
      <c r="A17" s="23" t="inlineStr">
        <is>
          <t>Calculation</t>
        </is>
      </c>
      <c r="B17" s="23" t="inlineStr">
        <is>
          <t>Formula (type this in col C)</t>
        </is>
      </c>
      <c r="C17" s="3" t="inlineStr">
        <is>
          <t>Result</t>
        </is>
      </c>
    </row>
    <row r="18" ht="22" customHeight="1">
      <c r="A18" s="24" t="inlineStr">
        <is>
          <t>Count — Scorchwing deliveries</t>
        </is>
      </c>
      <c r="B18" s="28">
        <f>COUNTIF(Deliveries!C5:C79,"Scorchwing")</f>
        <v/>
      </c>
      <c r="C18" s="29" t="n">
        <v>22</v>
      </c>
    </row>
    <row r="19" ht="22" customHeight="1">
      <c r="A19" s="27" t="inlineStr">
        <is>
          <t>Count — North zone deliveries</t>
        </is>
      </c>
      <c r="B19" s="28">
        <f>COUNTIF(Deliveries!D5:D79,"North")</f>
        <v/>
      </c>
      <c r="C19" s="29" t="n">
        <v>17</v>
      </c>
    </row>
    <row r="20" ht="22" customHeight="1">
      <c r="A20" s="24" t="inlineStr">
        <is>
          <t>Total revenue — North zone</t>
        </is>
      </c>
      <c r="B20" s="28">
        <f>SUMIF(Deliveries!D5:D79,"North",Deliveries!J5:J79)</f>
        <v/>
      </c>
      <c r="C20" s="29" t="n">
        <v>337</v>
      </c>
    </row>
    <row r="21" ht="22" customHeight="1">
      <c r="A21" s="27" t="inlineStr">
        <is>
          <t>Average score — Express packages</t>
        </is>
      </c>
      <c r="B21" s="28">
        <f>AVERAGEIF(Deliveries!E5:E79,"Express",Deliveries!I5:I79)</f>
        <v/>
      </c>
      <c r="C21" s="29" t="n">
        <v>7.11</v>
      </c>
    </row>
    <row r="22" ht="12" customHeight="1"/>
    <row r="23" ht="20" customHeight="1">
      <c r="A23" s="21" t="inlineStr">
        <is>
          <t xml:space="preserve">  SECTION 3 — MULTI-CONDITION FORMULAS (COUNTIFS / SUMIFS / AVERAGEIFS)</t>
        </is>
      </c>
    </row>
    <row r="24" ht="18" customHeight="1">
      <c r="A24" s="22" t="inlineStr">
        <is>
          <t xml:space="preserve">  These formulas answer two-or-more-condition questions. Enter each formula in column C.</t>
        </is>
      </c>
    </row>
    <row r="25" ht="8" customHeight="1"/>
    <row r="26" ht="22" customHeight="1">
      <c r="A26" s="23" t="inlineStr">
        <is>
          <t>Calculation</t>
        </is>
      </c>
      <c r="B26" s="23" t="inlineStr">
        <is>
          <t>Formula (type this in col C)</t>
        </is>
      </c>
      <c r="C26" s="3" t="inlineStr">
        <is>
          <t>Result</t>
        </is>
      </c>
    </row>
    <row r="27" ht="22" customHeight="1">
      <c r="A27" s="27" t="inlineStr">
        <is>
          <t>Count — Express deliveries in North zone</t>
        </is>
      </c>
      <c r="B27" s="28">
        <f>COUNTIFS(Deliveries!E5:E79,"Express",Deliveries!D5:D79,"North")</f>
        <v/>
      </c>
      <c r="C27" s="29" t="n">
        <v>5</v>
      </c>
    </row>
    <row r="28" ht="22" customHeight="1">
      <c r="A28" s="24" t="inlineStr">
        <is>
          <t>Total revenue — Scorchwing + Express</t>
        </is>
      </c>
      <c r="B28" s="28">
        <f>SUMIFS(Deliveries!J5:J79,Deliveries!C5:C79,"Scorchwing",Deliveries!E5:E79,"Express")</f>
        <v/>
      </c>
      <c r="C28" s="29" t="n">
        <v>100.95</v>
      </c>
    </row>
    <row r="29" ht="22" customHeight="1">
      <c r="A29" s="27" t="inlineStr">
        <is>
          <t>Average score — Frostclaw + Standard</t>
        </is>
      </c>
      <c r="B29" s="28">
        <f>AVERAGEIFS(Deliveries!I5:I79,Deliveries!C5:C79,"Frostclaw",Deliveries!E5:E79,"Standard")</f>
        <v/>
      </c>
      <c r="C29" s="29" t="n">
        <v>4.73</v>
      </c>
    </row>
    <row r="30" ht="12" customHeight="1"/>
    <row r="31" ht="20" customHeight="1">
      <c r="A31" s="21" t="inlineStr">
        <is>
          <t xml:space="preserve">  SECTION 4 — REVIEW FLAG (IF formula in the Deliveries sheet)</t>
        </is>
      </c>
    </row>
    <row r="32" ht="22" customHeight="1">
      <c r="A32" s="30" t="inlineStr">
        <is>
          <t xml:space="preserve">  Step 1:</t>
        </is>
      </c>
      <c r="B32" s="31" t="inlineStr">
        <is>
          <t>Go to the Deliveries sheet. Click cell K4. Type the header:  ReviewFlag</t>
        </is>
      </c>
    </row>
    <row r="33" ht="22" customHeight="1">
      <c r="A33" s="30" t="inlineStr">
        <is>
          <t xml:space="preserve">  Step 2:</t>
        </is>
      </c>
      <c r="B33" s="31" t="inlineStr">
        <is>
          <t>Click cell K5. Type the formula:  =IF(I5&lt;6,"Review","OK")  — then press Enter.</t>
        </is>
      </c>
    </row>
    <row r="34" ht="22" customHeight="1">
      <c r="A34" s="30" t="inlineStr">
        <is>
          <t xml:space="preserve">  Step 3:</t>
        </is>
      </c>
      <c r="B34" s="31" t="inlineStr">
        <is>
          <t>Click K5 again. Copy the formula down to K79 (select K5:K79, then Ctrl+D).</t>
        </is>
      </c>
    </row>
    <row r="35" ht="22" customHeight="1">
      <c r="A35" s="30" t="inlineStr">
        <is>
          <t xml:space="preserve">  Check:</t>
        </is>
      </c>
      <c r="B35" s="31" t="inlineStr">
        <is>
          <t>Frostclaw rows should mostly show Review. Scorchwing rows should mostly show OK.</t>
        </is>
      </c>
    </row>
  </sheetData>
  <mergeCells count="13">
    <mergeCell ref="A4:E4"/>
    <mergeCell ref="B35:E35"/>
    <mergeCell ref="A24:E24"/>
    <mergeCell ref="A2:E2"/>
    <mergeCell ref="A15:E15"/>
    <mergeCell ref="B34:E34"/>
    <mergeCell ref="B33:E33"/>
    <mergeCell ref="A1:E1"/>
    <mergeCell ref="A5:E5"/>
    <mergeCell ref="A23:E23"/>
    <mergeCell ref="A14:E14"/>
    <mergeCell ref="A31:E31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2026-05-06T05:14:51Z</dcterms:created>
  <dcterms:modified xmlns:dcterms="http://purl.org/dc/terms/" xmlns:xsi="http://www.w3.org/2001/XMLSchema-instance" xsi:type="dcterms:W3CDTF">2026-05-06T05:14:51Z</dcterms:modified>
</cp:coreProperties>
</file>