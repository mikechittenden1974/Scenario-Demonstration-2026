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Dragon_Summary" sheetId="2" state="visible" r:id="rId2"/>
    <sheet xmlns:r="http://schemas.openxmlformats.org/officeDocument/2006/relationships" name="Zone_Summary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Scatter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"/>
    <numFmt numFmtId="167" formatCode="&quot;£&quot;#,##0.00"/>
  </numFmts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404040"/>
      <sz val="10"/>
    </font>
    <font>
      <name val="Arial"/>
      <b val="1"/>
      <color rgb="FFFFFFFF"/>
      <sz val="10"/>
    </font>
    <font>
      <name val="Arial"/>
      <b val="1"/>
      <color rgb="FFFFFFFF"/>
      <sz val="12"/>
    </font>
    <font>
      <name val="Arial"/>
      <i val="1"/>
      <color rgb="FF404040"/>
      <sz val="9"/>
    </font>
    <font>
      <name val="Arial"/>
      <b val="1"/>
      <color rgb="FF000000"/>
      <sz val="10"/>
    </font>
    <font>
      <name val="Arial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6A4FD1"/>
      </patternFill>
    </fill>
    <fill>
      <patternFill patternType="solid">
        <fgColor rgb="FFE8E2F7"/>
      </patternFill>
    </fill>
    <fill>
      <patternFill patternType="solid">
        <fgColor rgb="FF404040"/>
      </patternFill>
    </fill>
    <fill>
      <patternFill patternType="solid">
        <fgColor rgb="FFFFFFFF"/>
      </patternFill>
    </fill>
    <fill>
      <patternFill patternType="solid">
        <fgColor rgb="FFFFF0C0"/>
      </patternFill>
    </fill>
    <fill>
      <patternFill patternType="solid">
        <fgColor rgb="FFD5E8F8"/>
      </patternFill>
    </fill>
    <fill>
      <patternFill patternType="solid">
        <fgColor rgb="FFFF8C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5" fontId="0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/>
    </xf>
    <xf numFmtId="165" fontId="0" fillId="6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right" vertical="center"/>
    </xf>
    <xf numFmtId="166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b val="1"/>
        <color rgb="FF990000"/>
        <sz val="11"/>
      </font>
      <fill>
        <patternFill patternType="solid">
          <fgColor rgb="FFFFD5D5"/>
        </patternFill>
      </fill>
    </dxf>
    <dxf>
      <font>
        <name val="Arial"/>
        <b val="1"/>
        <color rgb="FF005500"/>
        <sz val="11"/>
      </font>
      <fill>
        <patternFill patternType="solid">
          <fgColor rgb="FFD5F0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3" customWidth="1" min="6" max="6"/>
    <col width="16" customWidth="1" min="7" max="7"/>
    <col width="17" customWidth="1" min="8" max="8"/>
    <col width="14" customWidth="1" min="9" max="9"/>
    <col width="12" customWidth="1" min="10" max="10"/>
    <col width="12" customWidth="1" min="11" max="11"/>
  </cols>
  <sheetData>
    <row r="1" ht="28" customHeight="1">
      <c r="A1" s="1" t="inlineStr">
        <is>
          <t>HEXPRESS DELIVERY CO. — Delivery Records (Jan–Jun 2026)</t>
        </is>
      </c>
    </row>
    <row r="2" ht="16" customHeight="1">
      <c r="A2" s="2" t="inlineStr">
        <is>
          <t>Cleaned and treated dataset — ready for analysis</t>
        </is>
      </c>
    </row>
    <row r="3" ht="6" customHeight="1"/>
    <row r="4" ht="20" customHeight="1">
      <c r="A4" s="3" t="inlineStr">
        <is>
          <t>DeliveryID</t>
        </is>
      </c>
      <c r="B4" s="3" t="inlineStr">
        <is>
          <t>DeliveryDate</t>
        </is>
      </c>
      <c r="C4" s="3" t="inlineStr">
        <is>
          <t>DragonName</t>
        </is>
      </c>
      <c r="D4" s="3" t="inlineStr">
        <is>
          <t>DeliveryZone</t>
        </is>
      </c>
      <c r="E4" s="3" t="inlineStr">
        <is>
          <t>PackageType</t>
        </is>
      </c>
      <c r="F4" s="3" t="inlineStr">
        <is>
          <t>DistanceKm</t>
        </is>
      </c>
      <c r="G4" s="3" t="inlineStr">
        <is>
          <t>DeliveryTimeMin</t>
        </is>
      </c>
      <c r="H4" s="3" t="inlineStr">
        <is>
          <t>PackageWeightKg</t>
        </is>
      </c>
      <c r="I4" s="3" t="inlineStr">
        <is>
          <t>CustomerScore</t>
        </is>
      </c>
      <c r="J4" s="3" t="inlineStr">
        <is>
          <t>RevenueGBP</t>
        </is>
      </c>
      <c r="K4" s="3" t="inlineStr">
        <is>
          <t>ReviewFlag</t>
        </is>
      </c>
    </row>
    <row r="5">
      <c r="A5" s="4" t="inlineStr">
        <is>
          <t>HX001</t>
        </is>
      </c>
      <c r="B5" s="5" t="n">
        <v>46027</v>
      </c>
      <c r="C5" s="4" t="inlineStr">
        <is>
          <t>Scorchwing</t>
        </is>
      </c>
      <c r="D5" s="4" t="inlineStr">
        <is>
          <t>North</t>
        </is>
      </c>
      <c r="E5" s="4" t="inlineStr">
        <is>
          <t>Standard</t>
        </is>
      </c>
      <c r="F5" s="6" t="n">
        <v>123.5</v>
      </c>
      <c r="G5" s="6" t="n">
        <v>84</v>
      </c>
      <c r="H5" s="6" t="n">
        <v>4.4</v>
      </c>
      <c r="I5" s="7" t="n">
        <v>8.199999999999999</v>
      </c>
      <c r="J5" s="8" t="n">
        <v>17.35</v>
      </c>
      <c r="K5" s="4">
        <f>IF(I5&lt;6,"Review","OK")</f>
        <v/>
      </c>
    </row>
    <row r="6">
      <c r="A6" s="9" t="inlineStr">
        <is>
          <t>HX002</t>
        </is>
      </c>
      <c r="B6" s="10" t="n">
        <v>46030</v>
      </c>
      <c r="C6" s="9" t="inlineStr">
        <is>
          <t>Frostclaw</t>
        </is>
      </c>
      <c r="D6" s="9" t="inlineStr">
        <is>
          <t>South</t>
        </is>
      </c>
      <c r="E6" s="9" t="inlineStr">
        <is>
          <t>Express</t>
        </is>
      </c>
      <c r="F6" s="11" t="n">
        <v>75.40000000000001</v>
      </c>
      <c r="G6" s="11" t="n">
        <v>130</v>
      </c>
      <c r="H6" s="11" t="n">
        <v>2</v>
      </c>
      <c r="I6" s="12" t="n">
        <v>6</v>
      </c>
      <c r="J6" s="13" t="n">
        <v>21.31</v>
      </c>
      <c r="K6" s="9">
        <f>IF(I6&lt;6,"Review","OK")</f>
        <v/>
      </c>
    </row>
    <row r="7">
      <c r="A7" s="4" t="inlineStr">
        <is>
          <t>HX003</t>
        </is>
      </c>
      <c r="B7" s="5" t="n">
        <v>46033</v>
      </c>
      <c r="C7" s="4" t="inlineStr">
        <is>
          <t>Embermaw</t>
        </is>
      </c>
      <c r="D7" s="4" t="inlineStr">
        <is>
          <t>East</t>
        </is>
      </c>
      <c r="E7" s="4" t="inlineStr">
        <is>
          <t>Standard</t>
        </is>
      </c>
      <c r="F7" s="6" t="n">
        <v>50.3</v>
      </c>
      <c r="G7" s="6" t="n">
        <v>46</v>
      </c>
      <c r="H7" s="6" t="n">
        <v>9.300000000000001</v>
      </c>
      <c r="I7" s="7" t="n">
        <v>6.9</v>
      </c>
      <c r="J7" s="8" t="n">
        <v>10.03</v>
      </c>
      <c r="K7" s="4">
        <f>IF(I7&lt;6,"Review","OK")</f>
        <v/>
      </c>
    </row>
    <row r="8">
      <c r="A8" s="9" t="inlineStr">
        <is>
          <t>HX004</t>
        </is>
      </c>
      <c r="B8" s="10" t="n">
        <v>46036</v>
      </c>
      <c r="C8" s="9" t="inlineStr">
        <is>
          <t>Thornscale</t>
        </is>
      </c>
      <c r="D8" s="9" t="inlineStr">
        <is>
          <t>West</t>
        </is>
      </c>
      <c r="E8" s="9" t="inlineStr">
        <is>
          <t>Fragile</t>
        </is>
      </c>
      <c r="F8" s="11" t="n">
        <v>21.3</v>
      </c>
      <c r="G8" s="11" t="n">
        <v>30</v>
      </c>
      <c r="H8" s="11" t="n">
        <v>10</v>
      </c>
      <c r="I8" s="12" t="n">
        <v>6.4</v>
      </c>
      <c r="J8" s="13" t="n">
        <v>10.56</v>
      </c>
      <c r="K8" s="9">
        <f>IF(I8&lt;6,"Review","OK")</f>
        <v/>
      </c>
    </row>
    <row r="9">
      <c r="A9" s="4" t="inlineStr">
        <is>
          <t>HX005</t>
        </is>
      </c>
      <c r="B9" s="5" t="n">
        <v>46038</v>
      </c>
      <c r="C9" s="4" t="inlineStr">
        <is>
          <t>Scorchwing</t>
        </is>
      </c>
      <c r="D9" s="4" t="inlineStr">
        <is>
          <t>Central</t>
        </is>
      </c>
      <c r="E9" s="4" t="inlineStr">
        <is>
          <t>Standard</t>
        </is>
      </c>
      <c r="F9" s="6" t="n">
        <v>9.199999999999999</v>
      </c>
      <c r="G9" s="6" t="n">
        <v>15</v>
      </c>
      <c r="H9" s="6" t="n">
        <v>0.6</v>
      </c>
      <c r="I9" s="7" t="n">
        <v>9.199999999999999</v>
      </c>
      <c r="J9" s="8" t="n">
        <v>5.92</v>
      </c>
      <c r="K9" s="4">
        <f>IF(I9&lt;6,"Review","OK")</f>
        <v/>
      </c>
    </row>
    <row r="10">
      <c r="A10" s="9" t="inlineStr">
        <is>
          <t>HX006</t>
        </is>
      </c>
      <c r="B10" s="10" t="n">
        <v>46041</v>
      </c>
      <c r="C10" s="9" t="inlineStr">
        <is>
          <t>Embermaw</t>
        </is>
      </c>
      <c r="D10" s="9" t="inlineStr">
        <is>
          <t>North</t>
        </is>
      </c>
      <c r="E10" s="9" t="inlineStr">
        <is>
          <t>Express</t>
        </is>
      </c>
      <c r="F10" s="11" t="n">
        <v>134.8</v>
      </c>
      <c r="G10" s="11" t="n">
        <v>135</v>
      </c>
      <c r="H10" s="11" t="n">
        <v>3.2</v>
      </c>
      <c r="I10" s="12" t="n">
        <v>7.2</v>
      </c>
      <c r="J10" s="13" t="n">
        <v>30.22</v>
      </c>
      <c r="K10" s="9">
        <f>IF(I10&lt;6,"Review","OK")</f>
        <v/>
      </c>
    </row>
    <row r="11">
      <c r="A11" s="4" t="inlineStr">
        <is>
          <t>HX007</t>
        </is>
      </c>
      <c r="B11" s="5" t="n">
        <v>46043</v>
      </c>
      <c r="C11" s="4" t="inlineStr">
        <is>
          <t>Frostclaw</t>
        </is>
      </c>
      <c r="D11" s="4" t="inlineStr">
        <is>
          <t>East</t>
        </is>
      </c>
      <c r="E11" s="4" t="inlineStr">
        <is>
          <t>Standard</t>
        </is>
      </c>
      <c r="F11" s="6" t="n">
        <v>75.90000000000001</v>
      </c>
      <c r="G11" s="6" t="n">
        <v>117</v>
      </c>
      <c r="H11" s="6" t="n">
        <v>2.2</v>
      </c>
      <c r="I11" s="7" t="n">
        <v>4.4</v>
      </c>
      <c r="J11" s="8" t="n">
        <v>12.59</v>
      </c>
      <c r="K11" s="4">
        <f>IF(I11&lt;6,"Review","OK")</f>
        <v/>
      </c>
    </row>
    <row r="12">
      <c r="A12" s="9" t="inlineStr">
        <is>
          <t>HX008</t>
        </is>
      </c>
      <c r="B12" s="10" t="n">
        <v>46046</v>
      </c>
      <c r="C12" s="9" t="inlineStr">
        <is>
          <t>Thornscale</t>
        </is>
      </c>
      <c r="D12" s="9" t="inlineStr">
        <is>
          <t>South</t>
        </is>
      </c>
      <c r="E12" s="9" t="inlineStr">
        <is>
          <t>Standard</t>
        </is>
      </c>
      <c r="F12" s="11" t="n">
        <v>80.7</v>
      </c>
      <c r="G12" s="11" t="n">
        <v>96</v>
      </c>
      <c r="H12" s="11" t="n">
        <v>13.3</v>
      </c>
      <c r="I12" s="12" t="n">
        <v>7.1</v>
      </c>
      <c r="J12" s="13" t="n">
        <v>13.07</v>
      </c>
      <c r="K12" s="9">
        <f>IF(I12&lt;6,"Review","OK")</f>
        <v/>
      </c>
    </row>
    <row r="13">
      <c r="A13" s="4" t="inlineStr">
        <is>
          <t>HX009</t>
        </is>
      </c>
      <c r="B13" s="5" t="n">
        <v>46049</v>
      </c>
      <c r="C13" s="4" t="inlineStr">
        <is>
          <t>Scorchwing</t>
        </is>
      </c>
      <c r="D13" s="4" t="inlineStr">
        <is>
          <t>West</t>
        </is>
      </c>
      <c r="E13" s="4" t="inlineStr">
        <is>
          <t>Fragile</t>
        </is>
      </c>
      <c r="F13" s="6" t="n">
        <v>45.7</v>
      </c>
      <c r="G13" s="6" t="n">
        <v>48</v>
      </c>
      <c r="H13" s="6" t="n">
        <v>10.2</v>
      </c>
      <c r="I13" s="7" t="n">
        <v>8</v>
      </c>
      <c r="J13" s="8" t="n">
        <v>13.48</v>
      </c>
      <c r="K13" s="4">
        <f>IF(I13&lt;6,"Review","OK")</f>
        <v/>
      </c>
    </row>
    <row r="14">
      <c r="A14" s="9" t="inlineStr">
        <is>
          <t>HX010</t>
        </is>
      </c>
      <c r="B14" s="10" t="n">
        <v>46052</v>
      </c>
      <c r="C14" s="9" t="inlineStr">
        <is>
          <t>Embermaw</t>
        </is>
      </c>
      <c r="D14" s="9" t="inlineStr">
        <is>
          <t>Central</t>
        </is>
      </c>
      <c r="E14" s="9" t="inlineStr">
        <is>
          <t>Express</t>
        </is>
      </c>
      <c r="F14" s="11" t="n">
        <v>20.8</v>
      </c>
      <c r="G14" s="11" t="n">
        <v>29</v>
      </c>
      <c r="H14" s="11" t="n">
        <v>10.6</v>
      </c>
      <c r="I14" s="12" t="n">
        <v>8.199999999999999</v>
      </c>
      <c r="J14" s="13" t="n">
        <v>13.12</v>
      </c>
      <c r="K14" s="9">
        <f>IF(I14&lt;6,"Review","OK")</f>
        <v/>
      </c>
    </row>
    <row r="15">
      <c r="A15" s="4" t="inlineStr">
        <is>
          <t>HX011</t>
        </is>
      </c>
      <c r="B15" s="5" t="n">
        <v>46055</v>
      </c>
      <c r="C15" s="4" t="inlineStr">
        <is>
          <t>Thornscale</t>
        </is>
      </c>
      <c r="D15" s="4" t="inlineStr">
        <is>
          <t>North</t>
        </is>
      </c>
      <c r="E15" s="4" t="inlineStr">
        <is>
          <t>Standard</t>
        </is>
      </c>
      <c r="F15" s="6" t="n">
        <v>127.9</v>
      </c>
      <c r="G15" s="6" t="n">
        <v>120</v>
      </c>
      <c r="H15" s="6" t="n">
        <v>5.6</v>
      </c>
      <c r="I15" s="7" t="n">
        <v>6</v>
      </c>
      <c r="J15" s="8" t="n">
        <v>17.79</v>
      </c>
      <c r="K15" s="4">
        <f>IF(I15&lt;6,"Review","OK")</f>
        <v/>
      </c>
    </row>
    <row r="16">
      <c r="A16" s="9" t="inlineStr">
        <is>
          <t>HX012</t>
        </is>
      </c>
      <c r="B16" s="10" t="n">
        <v>46058</v>
      </c>
      <c r="C16" s="9" t="inlineStr">
        <is>
          <t>Scorchwing</t>
        </is>
      </c>
      <c r="D16" s="9" t="inlineStr">
        <is>
          <t>East</t>
        </is>
      </c>
      <c r="E16" s="9" t="inlineStr">
        <is>
          <t>Standard</t>
        </is>
      </c>
      <c r="F16" s="11" t="n">
        <v>33.8</v>
      </c>
      <c r="G16" s="11" t="n">
        <v>30</v>
      </c>
      <c r="H16" s="11" t="n">
        <v>5.4</v>
      </c>
      <c r="I16" s="12" t="n">
        <v>7.8</v>
      </c>
      <c r="J16" s="13" t="n">
        <v>8.380000000000001</v>
      </c>
      <c r="K16" s="9">
        <f>IF(I16&lt;6,"Review","OK")</f>
        <v/>
      </c>
    </row>
    <row r="17">
      <c r="A17" s="4" t="inlineStr">
        <is>
          <t>HX013</t>
        </is>
      </c>
      <c r="B17" s="5" t="n">
        <v>46061</v>
      </c>
      <c r="C17" s="4" t="inlineStr">
        <is>
          <t>Frostclaw</t>
        </is>
      </c>
      <c r="D17" s="4" t="inlineStr">
        <is>
          <t>South</t>
        </is>
      </c>
      <c r="E17" s="4" t="inlineStr">
        <is>
          <t>Express</t>
        </is>
      </c>
      <c r="F17" s="6" t="n">
        <v>70.5</v>
      </c>
      <c r="G17" s="6" t="n">
        <v>111</v>
      </c>
      <c r="H17" s="6" t="n">
        <v>4.2</v>
      </c>
      <c r="I17" s="7" t="n">
        <v>4.9</v>
      </c>
      <c r="J17" s="8" t="n">
        <v>20.57</v>
      </c>
      <c r="K17" s="4">
        <f>IF(I17&lt;6,"Review","OK")</f>
        <v/>
      </c>
    </row>
    <row r="18">
      <c r="A18" s="9" t="inlineStr">
        <is>
          <t>HX014</t>
        </is>
      </c>
      <c r="B18" s="10" t="n">
        <v>46064</v>
      </c>
      <c r="C18" s="9" t="inlineStr">
        <is>
          <t>Embermaw</t>
        </is>
      </c>
      <c r="D18" s="9" t="inlineStr">
        <is>
          <t>West</t>
        </is>
      </c>
      <c r="E18" s="9" t="inlineStr">
        <is>
          <t>Fragile</t>
        </is>
      </c>
      <c r="F18" s="11" t="n">
        <v>32.8</v>
      </c>
      <c r="G18" s="11" t="n">
        <v>44</v>
      </c>
      <c r="H18" s="11" t="n">
        <v>11.2</v>
      </c>
      <c r="I18" s="12" t="n">
        <v>7.4</v>
      </c>
      <c r="J18" s="13" t="n">
        <v>11.94</v>
      </c>
      <c r="K18" s="9">
        <f>IF(I18&lt;6,"Review","OK")</f>
        <v/>
      </c>
    </row>
    <row r="19">
      <c r="A19" s="4" t="inlineStr">
        <is>
          <t>HX015</t>
        </is>
      </c>
      <c r="B19" s="5" t="n">
        <v>46067</v>
      </c>
      <c r="C19" s="4" t="inlineStr">
        <is>
          <t>Thornscale</t>
        </is>
      </c>
      <c r="D19" s="4" t="inlineStr">
        <is>
          <t>North</t>
        </is>
      </c>
      <c r="E19" s="4" t="inlineStr">
        <is>
          <t>Standard</t>
        </is>
      </c>
      <c r="F19" s="6" t="n">
        <v>91.59999999999999</v>
      </c>
      <c r="G19" s="6" t="n">
        <v>111</v>
      </c>
      <c r="H19" s="6" t="n">
        <v>7.1</v>
      </c>
      <c r="I19" s="7" t="n">
        <v>5.8</v>
      </c>
      <c r="J19" s="8" t="n">
        <v>14.16</v>
      </c>
      <c r="K19" s="4">
        <f>IF(I19&lt;6,"Review","OK")</f>
        <v/>
      </c>
    </row>
    <row r="20">
      <c r="A20" s="9" t="inlineStr">
        <is>
          <t>HX016</t>
        </is>
      </c>
      <c r="B20" s="10" t="n">
        <v>46070</v>
      </c>
      <c r="C20" s="9" t="inlineStr">
        <is>
          <t>Scorchwing</t>
        </is>
      </c>
      <c r="D20" s="9" t="inlineStr">
        <is>
          <t>Central</t>
        </is>
      </c>
      <c r="E20" s="9" t="inlineStr">
        <is>
          <t>Standard</t>
        </is>
      </c>
      <c r="F20" s="11" t="n">
        <v>23.8</v>
      </c>
      <c r="G20" s="11" t="n">
        <v>27</v>
      </c>
      <c r="H20" s="11" t="n">
        <v>12.5</v>
      </c>
      <c r="I20" s="12" t="n">
        <v>8.699999999999999</v>
      </c>
      <c r="J20" s="13" t="n">
        <v>7.38</v>
      </c>
      <c r="K20" s="9">
        <f>IF(I20&lt;6,"Review","OK")</f>
        <v/>
      </c>
    </row>
    <row r="21">
      <c r="A21" s="4" t="inlineStr">
        <is>
          <t>HX017</t>
        </is>
      </c>
      <c r="B21" s="5" t="n">
        <v>46072</v>
      </c>
      <c r="C21" s="4" t="inlineStr">
        <is>
          <t>Frostclaw</t>
        </is>
      </c>
      <c r="D21" s="4" t="inlineStr">
        <is>
          <t>South</t>
        </is>
      </c>
      <c r="E21" s="4" t="inlineStr">
        <is>
          <t>Express</t>
        </is>
      </c>
      <c r="F21" s="6" t="n">
        <v>80.5</v>
      </c>
      <c r="G21" s="6" t="n">
        <v>142</v>
      </c>
      <c r="H21" s="6" t="n">
        <v>1.1</v>
      </c>
      <c r="I21" s="7" t="n">
        <v>4.7</v>
      </c>
      <c r="J21" s="8" t="n">
        <v>22.07</v>
      </c>
      <c r="K21" s="4">
        <f>IF(I21&lt;6,"Review","OK")</f>
        <v/>
      </c>
    </row>
    <row r="22">
      <c r="A22" s="9" t="inlineStr">
        <is>
          <t>HX018</t>
        </is>
      </c>
      <c r="B22" s="10" t="n">
        <v>46075</v>
      </c>
      <c r="C22" s="9" t="inlineStr">
        <is>
          <t>Embermaw</t>
        </is>
      </c>
      <c r="D22" s="9" t="inlineStr">
        <is>
          <t>East</t>
        </is>
      </c>
      <c r="E22" s="9" t="inlineStr">
        <is>
          <t>Standard</t>
        </is>
      </c>
      <c r="F22" s="11" t="n">
        <v>45.1</v>
      </c>
      <c r="G22" s="11" t="n">
        <v>45</v>
      </c>
      <c r="H22" s="11" t="n">
        <v>17</v>
      </c>
      <c r="I22" s="12" t="n">
        <v>6.9</v>
      </c>
      <c r="J22" s="13" t="n">
        <v>9.51</v>
      </c>
      <c r="K22" s="9">
        <f>IF(I22&lt;6,"Review","OK")</f>
        <v/>
      </c>
    </row>
    <row r="23">
      <c r="A23" s="4" t="inlineStr">
        <is>
          <t>HX019</t>
        </is>
      </c>
      <c r="B23" s="5" t="n">
        <v>46077</v>
      </c>
      <c r="C23" s="4" t="inlineStr">
        <is>
          <t>Thornscale</t>
        </is>
      </c>
      <c r="D23" s="4" t="inlineStr">
        <is>
          <t>West</t>
        </is>
      </c>
      <c r="E23" s="4" t="inlineStr">
        <is>
          <t>Fragile</t>
        </is>
      </c>
      <c r="F23" s="6" t="n">
        <v>62.1</v>
      </c>
      <c r="G23" s="6" t="n">
        <v>70</v>
      </c>
      <c r="H23" s="6" t="n">
        <v>7.4</v>
      </c>
      <c r="I23" s="7" t="n">
        <v>6.4</v>
      </c>
      <c r="J23" s="8" t="n">
        <v>15.45</v>
      </c>
      <c r="K23" s="4">
        <f>IF(I23&lt;6,"Review","OK")</f>
        <v/>
      </c>
    </row>
    <row r="24">
      <c r="A24" s="9" t="inlineStr">
        <is>
          <t>HX020</t>
        </is>
      </c>
      <c r="B24" s="10" t="n">
        <v>46079</v>
      </c>
      <c r="C24" s="9" t="inlineStr">
        <is>
          <t>Scorchwing</t>
        </is>
      </c>
      <c r="D24" s="9" t="inlineStr">
        <is>
          <t>North</t>
        </is>
      </c>
      <c r="E24" s="9" t="inlineStr">
        <is>
          <t>Standard</t>
        </is>
      </c>
      <c r="F24" s="11" t="n">
        <v>142.2</v>
      </c>
      <c r="G24" s="11" t="n">
        <v>111</v>
      </c>
      <c r="H24" s="11" t="n">
        <v>4.8</v>
      </c>
      <c r="I24" s="12" t="n">
        <v>8.1</v>
      </c>
      <c r="J24" s="13" t="n">
        <v>19.22</v>
      </c>
      <c r="K24" s="9">
        <f>IF(I24&lt;6,"Review","OK")</f>
        <v/>
      </c>
    </row>
    <row r="25">
      <c r="A25" s="4" t="inlineStr">
        <is>
          <t>HX021</t>
        </is>
      </c>
      <c r="B25" s="5" t="n">
        <v>46083</v>
      </c>
      <c r="C25" s="4" t="inlineStr">
        <is>
          <t>Frostclaw</t>
        </is>
      </c>
      <c r="D25" s="4" t="inlineStr">
        <is>
          <t>South</t>
        </is>
      </c>
      <c r="E25" s="4" t="inlineStr">
        <is>
          <t>Standard</t>
        </is>
      </c>
      <c r="F25" s="6" t="n">
        <v>66.90000000000001</v>
      </c>
      <c r="G25" s="6" t="n">
        <v>103</v>
      </c>
      <c r="H25" s="6" t="n">
        <v>16.2</v>
      </c>
      <c r="I25" s="7" t="n">
        <v>5.4</v>
      </c>
      <c r="J25" s="8" t="n">
        <v>11.69</v>
      </c>
      <c r="K25" s="4">
        <f>IF(I25&lt;6,"Review","OK")</f>
        <v/>
      </c>
    </row>
    <row r="26">
      <c r="A26" s="9" t="inlineStr">
        <is>
          <t>HX022</t>
        </is>
      </c>
      <c r="B26" s="10" t="n">
        <v>46085</v>
      </c>
      <c r="C26" s="9" t="inlineStr">
        <is>
          <t>Embermaw</t>
        </is>
      </c>
      <c r="D26" s="9" t="inlineStr">
        <is>
          <t>East</t>
        </is>
      </c>
      <c r="E26" s="9" t="inlineStr">
        <is>
          <t>Express</t>
        </is>
      </c>
      <c r="F26" s="11" t="n">
        <v>49.2</v>
      </c>
      <c r="G26" s="11" t="n">
        <v>48</v>
      </c>
      <c r="H26" s="11" t="n">
        <v>9.4</v>
      </c>
      <c r="I26" s="12" t="n">
        <v>8.5</v>
      </c>
      <c r="J26" s="13" t="n">
        <v>17.38</v>
      </c>
      <c r="K26" s="9">
        <f>IF(I26&lt;6,"Review","OK")</f>
        <v/>
      </c>
    </row>
    <row r="27">
      <c r="A27" s="14" t="inlineStr">
        <is>
          <t>HX023</t>
        </is>
      </c>
      <c r="B27" s="15" t="n">
        <v>46095</v>
      </c>
      <c r="C27" s="14" t="inlineStr">
        <is>
          <t>Frostclaw</t>
        </is>
      </c>
      <c r="D27" s="14" t="inlineStr">
        <is>
          <t>Central</t>
        </is>
      </c>
      <c r="E27" s="14" t="inlineStr">
        <is>
          <t>Standard</t>
        </is>
      </c>
      <c r="F27" s="16" t="n">
        <v>15</v>
      </c>
      <c r="G27" s="16" t="n">
        <v>189</v>
      </c>
      <c r="H27" s="16" t="n">
        <v>8.199999999999999</v>
      </c>
      <c r="I27" s="17" t="n">
        <v>2</v>
      </c>
      <c r="J27" s="18" t="n">
        <v>6.5</v>
      </c>
      <c r="K27" s="14">
        <f>IF(I27&lt;6,"Review","OK")</f>
        <v/>
      </c>
    </row>
    <row r="28">
      <c r="A28" s="9" t="inlineStr">
        <is>
          <t>HX024</t>
        </is>
      </c>
      <c r="B28" s="10" t="n">
        <v>46088</v>
      </c>
      <c r="C28" s="9" t="inlineStr">
        <is>
          <t>Scorchwing</t>
        </is>
      </c>
      <c r="D28" s="9" t="inlineStr">
        <is>
          <t>North</t>
        </is>
      </c>
      <c r="E28" s="9" t="inlineStr">
        <is>
          <t>Express</t>
        </is>
      </c>
      <c r="F28" s="11" t="n">
        <v>133.9</v>
      </c>
      <c r="G28" s="11" t="n">
        <v>104</v>
      </c>
      <c r="H28" s="11" t="n">
        <v>7.2</v>
      </c>
      <c r="I28" s="12" t="n">
        <v>7.7</v>
      </c>
      <c r="J28" s="13" t="n">
        <v>30.09</v>
      </c>
      <c r="K28" s="9">
        <f>IF(I28&lt;6,"Review","OK")</f>
        <v/>
      </c>
    </row>
    <row r="29">
      <c r="A29" s="4" t="inlineStr">
        <is>
          <t>HX025</t>
        </is>
      </c>
      <c r="B29" s="5" t="n">
        <v>46089</v>
      </c>
      <c r="C29" s="4" t="inlineStr">
        <is>
          <t>Thornscale</t>
        </is>
      </c>
      <c r="D29" s="4" t="inlineStr">
        <is>
          <t>West</t>
        </is>
      </c>
      <c r="E29" s="4" t="inlineStr">
        <is>
          <t>Fragile</t>
        </is>
      </c>
      <c r="F29" s="6" t="n">
        <v>67.8</v>
      </c>
      <c r="G29" s="6" t="n">
        <v>80</v>
      </c>
      <c r="H29" s="6" t="n">
        <v>15.6</v>
      </c>
      <c r="I29" s="7" t="n">
        <v>7</v>
      </c>
      <c r="J29" s="8" t="n">
        <v>16.14</v>
      </c>
      <c r="K29" s="4">
        <f>IF(I29&lt;6,"Review","OK")</f>
        <v/>
      </c>
    </row>
    <row r="30">
      <c r="A30" s="9" t="inlineStr">
        <is>
          <t>HX026</t>
        </is>
      </c>
      <c r="B30" s="10" t="n">
        <v>46091</v>
      </c>
      <c r="C30" s="9" t="inlineStr">
        <is>
          <t>Embermaw</t>
        </is>
      </c>
      <c r="D30" s="9" t="inlineStr">
        <is>
          <t>East</t>
        </is>
      </c>
      <c r="E30" s="9" t="inlineStr">
        <is>
          <t>Standard</t>
        </is>
      </c>
      <c r="F30" s="11" t="n">
        <v>30.6</v>
      </c>
      <c r="G30" s="11" t="n">
        <v>39</v>
      </c>
      <c r="H30" s="11" t="n">
        <v>9.9</v>
      </c>
      <c r="I30" s="12" t="n">
        <v>7.9</v>
      </c>
      <c r="J30" s="13" t="n">
        <v>8.06</v>
      </c>
      <c r="K30" s="9">
        <f>IF(I30&lt;6,"Review","OK")</f>
        <v/>
      </c>
    </row>
    <row r="31">
      <c r="A31" s="4" t="inlineStr">
        <is>
          <t>HX027</t>
        </is>
      </c>
      <c r="B31" s="5" t="n">
        <v>46092</v>
      </c>
      <c r="C31" s="4" t="inlineStr">
        <is>
          <t>Frostclaw</t>
        </is>
      </c>
      <c r="D31" s="4" t="inlineStr">
        <is>
          <t>South</t>
        </is>
      </c>
      <c r="E31" s="4" t="inlineStr">
        <is>
          <t>Fragile</t>
        </is>
      </c>
      <c r="F31" s="6" t="n">
        <v>52.8</v>
      </c>
      <c r="G31" s="6" t="n">
        <v>95</v>
      </c>
      <c r="H31" s="6" t="n">
        <v>8.1</v>
      </c>
      <c r="I31" s="7" t="n">
        <v>4</v>
      </c>
      <c r="J31" s="8" t="n">
        <v>14.34</v>
      </c>
      <c r="K31" s="4">
        <f>IF(I31&lt;6,"Review","OK")</f>
        <v/>
      </c>
    </row>
    <row r="32">
      <c r="A32" s="9" t="inlineStr">
        <is>
          <t>HX028</t>
        </is>
      </c>
      <c r="B32" s="10" t="n">
        <v>46093</v>
      </c>
      <c r="C32" s="9" t="inlineStr">
        <is>
          <t>Scorchwing</t>
        </is>
      </c>
      <c r="D32" s="9" t="inlineStr">
        <is>
          <t>Central</t>
        </is>
      </c>
      <c r="E32" s="9" t="inlineStr">
        <is>
          <t>Standard</t>
        </is>
      </c>
      <c r="F32" s="11" t="n">
        <v>13.6</v>
      </c>
      <c r="G32" s="11" t="n">
        <v>21</v>
      </c>
      <c r="H32" s="11" t="n">
        <v>5.1</v>
      </c>
      <c r="I32" s="12" t="n">
        <v>9.4</v>
      </c>
      <c r="J32" s="13" t="n">
        <v>6.36</v>
      </c>
      <c r="K32" s="9">
        <f>IF(I32&lt;6,"Review","OK")</f>
        <v/>
      </c>
    </row>
    <row r="33">
      <c r="A33" s="4" t="inlineStr">
        <is>
          <t>HX029</t>
        </is>
      </c>
      <c r="B33" s="5" t="n">
        <v>46095</v>
      </c>
      <c r="C33" s="4" t="inlineStr">
        <is>
          <t>Thornscale</t>
        </is>
      </c>
      <c r="D33" s="4" t="inlineStr">
        <is>
          <t>North</t>
        </is>
      </c>
      <c r="E33" s="4" t="inlineStr">
        <is>
          <t>Express</t>
        </is>
      </c>
      <c r="F33" s="6" t="n">
        <v>114</v>
      </c>
      <c r="G33" s="6" t="n">
        <v>114</v>
      </c>
      <c r="H33" s="6" t="n">
        <v>15.7</v>
      </c>
      <c r="I33" s="7" t="n">
        <v>7.3</v>
      </c>
      <c r="J33" s="8" t="n">
        <v>27.1</v>
      </c>
      <c r="K33" s="4">
        <f>IF(I33&lt;6,"Review","OK")</f>
        <v/>
      </c>
    </row>
    <row r="34">
      <c r="A34" s="9" t="inlineStr">
        <is>
          <t>HX030</t>
        </is>
      </c>
      <c r="B34" s="10" t="n">
        <v>46096</v>
      </c>
      <c r="C34" s="9" t="inlineStr">
        <is>
          <t>Frostclaw</t>
        </is>
      </c>
      <c r="D34" s="9" t="inlineStr">
        <is>
          <t>West</t>
        </is>
      </c>
      <c r="E34" s="9" t="inlineStr">
        <is>
          <t>Standard</t>
        </is>
      </c>
      <c r="F34" s="11" t="n">
        <v>34.3</v>
      </c>
      <c r="G34" s="11" t="n">
        <v>67</v>
      </c>
      <c r="H34" s="11" t="n">
        <v>3.2</v>
      </c>
      <c r="I34" s="12" t="n">
        <v>5.4</v>
      </c>
      <c r="J34" s="13" t="n">
        <v>8.43</v>
      </c>
      <c r="K34" s="9">
        <f>IF(I34&lt;6,"Review","OK")</f>
        <v/>
      </c>
    </row>
    <row r="35">
      <c r="A35" s="4" t="inlineStr">
        <is>
          <t>HX031</t>
        </is>
      </c>
      <c r="B35" s="5" t="n">
        <v>46098</v>
      </c>
      <c r="C35" s="4" t="inlineStr">
        <is>
          <t>Scorchwing</t>
        </is>
      </c>
      <c r="D35" s="4" t="inlineStr">
        <is>
          <t>East</t>
        </is>
      </c>
      <c r="E35" s="4" t="inlineStr">
        <is>
          <t>Standard</t>
        </is>
      </c>
      <c r="F35" s="6" t="n">
        <v>66.59999999999999</v>
      </c>
      <c r="G35" s="6" t="n">
        <v>58</v>
      </c>
      <c r="H35" s="6" t="n">
        <v>9.800000000000001</v>
      </c>
      <c r="I35" s="7" t="n">
        <v>9.199999999999999</v>
      </c>
      <c r="J35" s="8" t="n">
        <v>11.66</v>
      </c>
      <c r="K35" s="4">
        <f>IF(I35&lt;6,"Review","OK")</f>
        <v/>
      </c>
    </row>
    <row r="36">
      <c r="A36" s="9" t="inlineStr">
        <is>
          <t>HX032</t>
        </is>
      </c>
      <c r="B36" s="10" t="n">
        <v>46099</v>
      </c>
      <c r="C36" s="9" t="inlineStr">
        <is>
          <t>Embermaw</t>
        </is>
      </c>
      <c r="D36" s="9" t="inlineStr">
        <is>
          <t>South</t>
        </is>
      </c>
      <c r="E36" s="9" t="inlineStr">
        <is>
          <t>Express</t>
        </is>
      </c>
      <c r="F36" s="11" t="n">
        <v>40</v>
      </c>
      <c r="G36" s="11" t="n">
        <v>42</v>
      </c>
      <c r="H36" s="11" t="n">
        <v>16.8</v>
      </c>
      <c r="I36" s="12" t="n">
        <v>6.5</v>
      </c>
      <c r="J36" s="13" t="n">
        <v>16</v>
      </c>
      <c r="K36" s="9">
        <f>IF(I36&lt;6,"Review","OK")</f>
        <v/>
      </c>
    </row>
    <row r="37">
      <c r="A37" s="4" t="inlineStr">
        <is>
          <t>HX033</t>
        </is>
      </c>
      <c r="B37" s="5" t="n">
        <v>46100</v>
      </c>
      <c r="C37" s="4" t="inlineStr">
        <is>
          <t>Thornscale</t>
        </is>
      </c>
      <c r="D37" s="4" t="inlineStr">
        <is>
          <t>North</t>
        </is>
      </c>
      <c r="E37" s="4" t="inlineStr">
        <is>
          <t>Standard</t>
        </is>
      </c>
      <c r="F37" s="6" t="n">
        <v>139.8</v>
      </c>
      <c r="G37" s="6" t="n">
        <v>168</v>
      </c>
      <c r="H37" s="6" t="n">
        <v>1.5</v>
      </c>
      <c r="I37" s="7" t="n">
        <v>6.1</v>
      </c>
      <c r="J37" s="8" t="n">
        <v>18.98</v>
      </c>
      <c r="K37" s="4">
        <f>IF(I37&lt;6,"Review","OK")</f>
        <v/>
      </c>
    </row>
    <row r="38">
      <c r="A38" s="9" t="inlineStr">
        <is>
          <t>HX034</t>
        </is>
      </c>
      <c r="B38" s="10" t="n">
        <v>46102</v>
      </c>
      <c r="C38" s="9" t="inlineStr">
        <is>
          <t>Scorchwing</t>
        </is>
      </c>
      <c r="D38" s="9" t="inlineStr">
        <is>
          <t>West</t>
        </is>
      </c>
      <c r="E38" s="9" t="inlineStr">
        <is>
          <t>Fragile</t>
        </is>
      </c>
      <c r="F38" s="11" t="n">
        <v>62.1</v>
      </c>
      <c r="G38" s="11" t="n">
        <v>61</v>
      </c>
      <c r="H38" s="11" t="n">
        <v>9</v>
      </c>
      <c r="I38" s="12" t="n">
        <v>7.4</v>
      </c>
      <c r="J38" s="13" t="n">
        <v>15.45</v>
      </c>
      <c r="K38" s="9">
        <f>IF(I38&lt;6,"Review","OK")</f>
        <v/>
      </c>
    </row>
    <row r="39">
      <c r="A39" s="4" t="inlineStr">
        <is>
          <t>HX035</t>
        </is>
      </c>
      <c r="B39" s="5" t="n">
        <v>46103</v>
      </c>
      <c r="C39" s="4" t="inlineStr">
        <is>
          <t>Frostclaw</t>
        </is>
      </c>
      <c r="D39" s="4" t="inlineStr">
        <is>
          <t>Central</t>
        </is>
      </c>
      <c r="E39" s="4" t="inlineStr">
        <is>
          <t>Standard</t>
        </is>
      </c>
      <c r="F39" s="6" t="n">
        <v>6.3</v>
      </c>
      <c r="G39" s="6" t="n">
        <v>27</v>
      </c>
      <c r="H39" s="6" t="n">
        <v>2.7</v>
      </c>
      <c r="I39" s="7" t="n">
        <v>5.7</v>
      </c>
      <c r="J39" s="8" t="n">
        <v>5.63</v>
      </c>
      <c r="K39" s="4">
        <f>IF(I39&lt;6,"Review","OK")</f>
        <v/>
      </c>
    </row>
    <row r="40">
      <c r="A40" s="9" t="inlineStr">
        <is>
          <t>HX036</t>
        </is>
      </c>
      <c r="B40" s="10" t="n">
        <v>46105</v>
      </c>
      <c r="C40" s="9" t="inlineStr">
        <is>
          <t>Embermaw</t>
        </is>
      </c>
      <c r="D40" s="9" t="inlineStr">
        <is>
          <t>East</t>
        </is>
      </c>
      <c r="E40" s="9" t="inlineStr">
        <is>
          <t>Express</t>
        </is>
      </c>
      <c r="F40" s="11" t="n">
        <v>52.8</v>
      </c>
      <c r="G40" s="11" t="n">
        <v>57</v>
      </c>
      <c r="H40" s="11" t="n">
        <v>15.8</v>
      </c>
      <c r="I40" s="12" t="n">
        <v>7</v>
      </c>
      <c r="J40" s="13" t="n">
        <v>17.92</v>
      </c>
      <c r="K40" s="9">
        <f>IF(I40&lt;6,"Review","OK")</f>
        <v/>
      </c>
    </row>
    <row r="41">
      <c r="A41" s="4" t="inlineStr">
        <is>
          <t>HX037</t>
        </is>
      </c>
      <c r="B41" s="5" t="n">
        <v>46107</v>
      </c>
      <c r="C41" s="4" t="inlineStr">
        <is>
          <t>Scorchwing</t>
        </is>
      </c>
      <c r="D41" s="4" t="inlineStr">
        <is>
          <t>North</t>
        </is>
      </c>
      <c r="E41" s="4" t="inlineStr">
        <is>
          <t>Standard</t>
        </is>
      </c>
      <c r="F41" s="6" t="n">
        <v>108.8</v>
      </c>
      <c r="G41" s="6" t="n">
        <v>80</v>
      </c>
      <c r="H41" s="6" t="n">
        <v>13.3</v>
      </c>
      <c r="I41" s="7" t="n">
        <v>8.699999999999999</v>
      </c>
      <c r="J41" s="8" t="n">
        <v>15.88</v>
      </c>
      <c r="K41" s="4">
        <f>IF(I41&lt;6,"Review","OK")</f>
        <v/>
      </c>
    </row>
    <row r="42">
      <c r="A42" s="9" t="inlineStr">
        <is>
          <t>HX038</t>
        </is>
      </c>
      <c r="B42" s="10" t="n">
        <v>46109</v>
      </c>
      <c r="C42" s="9" t="inlineStr">
        <is>
          <t>Thornscale</t>
        </is>
      </c>
      <c r="D42" s="9" t="inlineStr">
        <is>
          <t>South</t>
        </is>
      </c>
      <c r="E42" s="9" t="inlineStr">
        <is>
          <t>Standard</t>
        </is>
      </c>
      <c r="F42" s="11" t="n">
        <v>49.7</v>
      </c>
      <c r="G42" s="11" t="n">
        <v>58</v>
      </c>
      <c r="H42" s="11" t="n">
        <v>11.9</v>
      </c>
      <c r="I42" s="12" t="n">
        <v>7.5</v>
      </c>
      <c r="J42" s="13" t="n">
        <v>9.970000000000001</v>
      </c>
      <c r="K42" s="9">
        <f>IF(I42&lt;6,"Review","OK")</f>
        <v/>
      </c>
    </row>
    <row r="43">
      <c r="A43" s="4" t="inlineStr">
        <is>
          <t>HX039</t>
        </is>
      </c>
      <c r="B43" s="5" t="n">
        <v>46113</v>
      </c>
      <c r="C43" s="4" t="inlineStr">
        <is>
          <t>Scorchwing</t>
        </is>
      </c>
      <c r="D43" s="4" t="inlineStr">
        <is>
          <t>West</t>
        </is>
      </c>
      <c r="E43" s="4" t="inlineStr">
        <is>
          <t>Express</t>
        </is>
      </c>
      <c r="F43" s="6" t="n">
        <v>41</v>
      </c>
      <c r="G43" s="6" t="n">
        <v>38</v>
      </c>
      <c r="H43" s="6" t="n">
        <v>4.4</v>
      </c>
      <c r="I43" s="7" t="n">
        <v>7.8</v>
      </c>
      <c r="J43" s="8" t="n">
        <v>16.15</v>
      </c>
      <c r="K43" s="4">
        <f>IF(I43&lt;6,"Review","OK")</f>
        <v/>
      </c>
    </row>
    <row r="44">
      <c r="A44" s="9" t="inlineStr">
        <is>
          <t>HX040</t>
        </is>
      </c>
      <c r="B44" s="10" t="n">
        <v>46115</v>
      </c>
      <c r="C44" s="9" t="inlineStr">
        <is>
          <t>Frostclaw</t>
        </is>
      </c>
      <c r="D44" s="9" t="inlineStr">
        <is>
          <t>North</t>
        </is>
      </c>
      <c r="E44" s="9" t="inlineStr">
        <is>
          <t>Standard</t>
        </is>
      </c>
      <c r="F44" s="11" t="n">
        <v>103</v>
      </c>
      <c r="G44" s="11" t="n">
        <v>167</v>
      </c>
      <c r="H44" s="11" t="n">
        <v>4.4</v>
      </c>
      <c r="I44" s="12" t="n">
        <v>4.7</v>
      </c>
      <c r="J44" s="13" t="n">
        <v>15.3</v>
      </c>
      <c r="K44" s="9">
        <f>IF(I44&lt;6,"Review","OK")</f>
        <v/>
      </c>
    </row>
    <row r="45">
      <c r="A45" s="4" t="inlineStr">
        <is>
          <t>HX041</t>
        </is>
      </c>
      <c r="B45" s="5" t="n">
        <v>46117</v>
      </c>
      <c r="C45" s="4" t="inlineStr">
        <is>
          <t>Embermaw</t>
        </is>
      </c>
      <c r="D45" s="4" t="inlineStr">
        <is>
          <t>East</t>
        </is>
      </c>
      <c r="E45" s="4" t="inlineStr">
        <is>
          <t>Fragile</t>
        </is>
      </c>
      <c r="F45" s="6" t="n">
        <v>33.4</v>
      </c>
      <c r="G45" s="6" t="n">
        <v>40</v>
      </c>
      <c r="H45" s="6" t="n">
        <v>16.3</v>
      </c>
      <c r="I45" s="7" t="n">
        <v>6.6</v>
      </c>
      <c r="J45" s="8" t="n">
        <v>12.01</v>
      </c>
      <c r="K45" s="4">
        <f>IF(I45&lt;6,"Review","OK")</f>
        <v/>
      </c>
    </row>
    <row r="46">
      <c r="A46" s="9" t="inlineStr">
        <is>
          <t>HX042</t>
        </is>
      </c>
      <c r="B46" s="10" t="n">
        <v>46119</v>
      </c>
      <c r="C46" s="9" t="inlineStr">
        <is>
          <t>Thornscale</t>
        </is>
      </c>
      <c r="D46" s="9" t="inlineStr">
        <is>
          <t>South</t>
        </is>
      </c>
      <c r="E46" s="9" t="inlineStr">
        <is>
          <t>Standard</t>
        </is>
      </c>
      <c r="F46" s="11" t="n">
        <v>81.3</v>
      </c>
      <c r="G46" s="11" t="n">
        <v>81</v>
      </c>
      <c r="H46" s="11" t="n">
        <v>12.2</v>
      </c>
      <c r="I46" s="12" t="n">
        <v>6</v>
      </c>
      <c r="J46" s="13" t="n">
        <v>13.13</v>
      </c>
      <c r="K46" s="9">
        <f>IF(I46&lt;6,"Review","OK")</f>
        <v/>
      </c>
    </row>
    <row r="47">
      <c r="A47" s="4" t="inlineStr">
        <is>
          <t>HX043</t>
        </is>
      </c>
      <c r="B47" s="5" t="n">
        <v>46121</v>
      </c>
      <c r="C47" s="4" t="inlineStr">
        <is>
          <t>Scorchwing</t>
        </is>
      </c>
      <c r="D47" s="4" t="inlineStr">
        <is>
          <t>Central</t>
        </is>
      </c>
      <c r="E47" s="4" t="inlineStr">
        <is>
          <t>Express</t>
        </is>
      </c>
      <c r="F47" s="6" t="n">
        <v>9.1</v>
      </c>
      <c r="G47" s="6" t="n">
        <v>15</v>
      </c>
      <c r="H47" s="6" t="n">
        <v>10.5</v>
      </c>
      <c r="I47" s="7" t="n">
        <v>9.5</v>
      </c>
      <c r="J47" s="8" t="n">
        <v>11.37</v>
      </c>
      <c r="K47" s="4">
        <f>IF(I47&lt;6,"Review","OK")</f>
        <v/>
      </c>
    </row>
    <row r="48">
      <c r="A48" s="9" t="inlineStr">
        <is>
          <t>HX044</t>
        </is>
      </c>
      <c r="B48" s="10" t="n">
        <v>46123</v>
      </c>
      <c r="C48" s="9" t="inlineStr">
        <is>
          <t>Embermaw</t>
        </is>
      </c>
      <c r="D48" s="9" t="inlineStr">
        <is>
          <t>West</t>
        </is>
      </c>
      <c r="E48" s="9" t="inlineStr">
        <is>
          <t>Standard</t>
        </is>
      </c>
      <c r="F48" s="11" t="n">
        <v>42.7</v>
      </c>
      <c r="G48" s="11" t="n">
        <v>51</v>
      </c>
      <c r="H48" s="11" t="n">
        <v>3.8</v>
      </c>
      <c r="I48" s="12" t="n">
        <v>8.1</v>
      </c>
      <c r="J48" s="13" t="n">
        <v>9.27</v>
      </c>
      <c r="K48" s="9">
        <f>IF(I48&lt;6,"Review","OK")</f>
        <v/>
      </c>
    </row>
    <row r="49">
      <c r="A49" s="4" t="inlineStr">
        <is>
          <t>HX045</t>
        </is>
      </c>
      <c r="B49" s="5" t="n">
        <v>46126</v>
      </c>
      <c r="C49" s="4" t="inlineStr">
        <is>
          <t>Frostclaw</t>
        </is>
      </c>
      <c r="D49" s="4" t="inlineStr">
        <is>
          <t>North</t>
        </is>
      </c>
      <c r="E49" s="4" t="inlineStr">
        <is>
          <t>Standard</t>
        </is>
      </c>
      <c r="F49" s="6" t="n">
        <v>86.59999999999999</v>
      </c>
      <c r="G49" s="6" t="n">
        <v>136</v>
      </c>
      <c r="H49" s="6" t="n">
        <v>8.699999999999999</v>
      </c>
      <c r="I49" s="7" t="n">
        <v>5</v>
      </c>
      <c r="J49" s="8" t="n">
        <v>13.66</v>
      </c>
      <c r="K49" s="4">
        <f>IF(I49&lt;6,"Review","OK")</f>
        <v/>
      </c>
    </row>
    <row r="50">
      <c r="A50" s="9" t="inlineStr">
        <is>
          <t>HX046</t>
        </is>
      </c>
      <c r="B50" s="10" t="n">
        <v>46127</v>
      </c>
      <c r="C50" s="9" t="inlineStr">
        <is>
          <t>Scorchwing</t>
        </is>
      </c>
      <c r="D50" s="9" t="inlineStr">
        <is>
          <t>East</t>
        </is>
      </c>
      <c r="E50" s="9" t="inlineStr">
        <is>
          <t>Fragile</t>
        </is>
      </c>
      <c r="F50" s="11" t="n">
        <v>65</v>
      </c>
      <c r="G50" s="11" t="n">
        <v>59</v>
      </c>
      <c r="H50" s="11" t="n">
        <v>2.2</v>
      </c>
      <c r="I50" s="12" t="n">
        <v>9.199999999999999</v>
      </c>
      <c r="J50" s="13" t="n">
        <v>15.8</v>
      </c>
      <c r="K50" s="9">
        <f>IF(I50&lt;6,"Review","OK")</f>
        <v/>
      </c>
    </row>
    <row r="51">
      <c r="A51" s="4" t="inlineStr">
        <is>
          <t>HX047</t>
        </is>
      </c>
      <c r="B51" s="5" t="n">
        <v>46129</v>
      </c>
      <c r="C51" s="4" t="inlineStr">
        <is>
          <t>Thornscale</t>
        </is>
      </c>
      <c r="D51" s="4" t="inlineStr">
        <is>
          <t>South</t>
        </is>
      </c>
      <c r="E51" s="4" t="inlineStr">
        <is>
          <t>Express</t>
        </is>
      </c>
      <c r="F51" s="6" t="n">
        <v>59.3</v>
      </c>
      <c r="G51" s="6" t="n">
        <v>68</v>
      </c>
      <c r="H51" s="6" t="n">
        <v>4.9</v>
      </c>
      <c r="I51" s="7" t="n">
        <v>7.2</v>
      </c>
      <c r="J51" s="8" t="n">
        <v>18.89</v>
      </c>
      <c r="K51" s="4">
        <f>IF(I51&lt;6,"Review","OK")</f>
        <v/>
      </c>
    </row>
    <row r="52">
      <c r="A52" s="9" t="inlineStr">
        <is>
          <t>HX048</t>
        </is>
      </c>
      <c r="B52" s="10" t="n">
        <v>46131</v>
      </c>
      <c r="C52" s="9" t="inlineStr">
        <is>
          <t>Frostclaw</t>
        </is>
      </c>
      <c r="D52" s="9" t="inlineStr">
        <is>
          <t>West</t>
        </is>
      </c>
      <c r="E52" s="9" t="inlineStr">
        <is>
          <t>Standard</t>
        </is>
      </c>
      <c r="F52" s="11" t="n">
        <v>29.1</v>
      </c>
      <c r="G52" s="11" t="n">
        <v>56</v>
      </c>
      <c r="H52" s="11" t="n">
        <v>5.4</v>
      </c>
      <c r="I52" s="12" t="n">
        <v>5</v>
      </c>
      <c r="J52" s="13" t="n">
        <v>7.91</v>
      </c>
      <c r="K52" s="9">
        <f>IF(I52&lt;6,"Review","OK")</f>
        <v/>
      </c>
    </row>
    <row r="53">
      <c r="A53" s="4" t="inlineStr">
        <is>
          <t>HX049</t>
        </is>
      </c>
      <c r="B53" s="5" t="n">
        <v>46133</v>
      </c>
      <c r="C53" s="4" t="inlineStr">
        <is>
          <t>Embermaw</t>
        </is>
      </c>
      <c r="D53" s="4" t="inlineStr">
        <is>
          <t>Central</t>
        </is>
      </c>
      <c r="E53" s="4" t="inlineStr">
        <is>
          <t>Standard</t>
        </is>
      </c>
      <c r="F53" s="6" t="n">
        <v>9.699999999999999</v>
      </c>
      <c r="G53" s="6" t="n">
        <v>21</v>
      </c>
      <c r="H53" s="6" t="n">
        <v>15.6</v>
      </c>
      <c r="I53" s="7" t="n">
        <v>7.4</v>
      </c>
      <c r="J53" s="8" t="n">
        <v>5.97</v>
      </c>
      <c r="K53" s="4">
        <f>IF(I53&lt;6,"Review","OK")</f>
        <v/>
      </c>
    </row>
    <row r="54">
      <c r="A54" s="9" t="inlineStr">
        <is>
          <t>HX050</t>
        </is>
      </c>
      <c r="B54" s="10" t="n">
        <v>46135</v>
      </c>
      <c r="C54" s="9" t="inlineStr">
        <is>
          <t>Scorchwing</t>
        </is>
      </c>
      <c r="D54" s="9" t="inlineStr">
        <is>
          <t>North</t>
        </is>
      </c>
      <c r="E54" s="9" t="inlineStr">
        <is>
          <t>Express</t>
        </is>
      </c>
      <c r="F54" s="11" t="n">
        <v>117.4</v>
      </c>
      <c r="G54" s="11" t="n">
        <v>81</v>
      </c>
      <c r="H54" s="11" t="n">
        <v>15.1</v>
      </c>
      <c r="I54" s="12" t="n">
        <v>9.6</v>
      </c>
      <c r="J54" s="13" t="n">
        <v>27.61</v>
      </c>
      <c r="K54" s="9">
        <f>IF(I54&lt;6,"Review","OK")</f>
        <v/>
      </c>
    </row>
    <row r="55">
      <c r="A55" s="4" t="inlineStr">
        <is>
          <t>HX051</t>
        </is>
      </c>
      <c r="B55" s="5" t="n">
        <v>46137</v>
      </c>
      <c r="C55" s="4" t="inlineStr">
        <is>
          <t>Thornscale</t>
        </is>
      </c>
      <c r="D55" s="4" t="inlineStr">
        <is>
          <t>East</t>
        </is>
      </c>
      <c r="E55" s="4" t="inlineStr">
        <is>
          <t>Fragile</t>
        </is>
      </c>
      <c r="F55" s="6" t="n">
        <v>76.5</v>
      </c>
      <c r="G55" s="6" t="n">
        <v>100</v>
      </c>
      <c r="H55" s="6" t="n">
        <v>3.4</v>
      </c>
      <c r="I55" s="7" t="n">
        <v>6.8</v>
      </c>
      <c r="J55" s="8" t="n">
        <v>17.18</v>
      </c>
      <c r="K55" s="4">
        <f>IF(I55&lt;6,"Review","OK")</f>
        <v/>
      </c>
    </row>
    <row r="56">
      <c r="A56" s="9" t="inlineStr">
        <is>
          <t>HX052</t>
        </is>
      </c>
      <c r="B56" s="10" t="n">
        <v>46139</v>
      </c>
      <c r="C56" s="9" t="inlineStr">
        <is>
          <t>Frostclaw</t>
        </is>
      </c>
      <c r="D56" s="9" t="inlineStr">
        <is>
          <t>South</t>
        </is>
      </c>
      <c r="E56" s="9" t="inlineStr">
        <is>
          <t>Standard</t>
        </is>
      </c>
      <c r="F56" s="11" t="n">
        <v>63.3</v>
      </c>
      <c r="G56" s="11" t="n">
        <v>96</v>
      </c>
      <c r="H56" s="11" t="n">
        <v>1.5</v>
      </c>
      <c r="I56" s="12" t="n">
        <v>5</v>
      </c>
      <c r="J56" s="13" t="n">
        <v>11.33</v>
      </c>
      <c r="K56" s="9">
        <f>IF(I56&lt;6,"Review","OK")</f>
        <v/>
      </c>
    </row>
    <row r="57">
      <c r="A57" s="4" t="inlineStr">
        <is>
          <t>HX053</t>
        </is>
      </c>
      <c r="B57" s="5" t="n">
        <v>46141</v>
      </c>
      <c r="C57" s="4" t="inlineStr">
        <is>
          <t>Scorchwing</t>
        </is>
      </c>
      <c r="D57" s="4" t="inlineStr">
        <is>
          <t>West</t>
        </is>
      </c>
      <c r="E57" s="4" t="inlineStr">
        <is>
          <t>Express</t>
        </is>
      </c>
      <c r="F57" s="6" t="n">
        <v>38.2</v>
      </c>
      <c r="G57" s="6" t="n">
        <v>42</v>
      </c>
      <c r="H57" s="6" t="n">
        <v>14.2</v>
      </c>
      <c r="I57" s="7" t="n">
        <v>8.1</v>
      </c>
      <c r="J57" s="8" t="n">
        <v>15.73</v>
      </c>
      <c r="K57" s="4">
        <f>IF(I57&lt;6,"Review","OK")</f>
        <v/>
      </c>
    </row>
    <row r="58">
      <c r="A58" s="9" t="inlineStr">
        <is>
          <t>HX054</t>
        </is>
      </c>
      <c r="B58" s="10" t="n">
        <v>46144</v>
      </c>
      <c r="C58" s="9" t="inlineStr">
        <is>
          <t>Embermaw</t>
        </is>
      </c>
      <c r="D58" s="9" t="inlineStr">
        <is>
          <t>North</t>
        </is>
      </c>
      <c r="E58" s="9" t="inlineStr">
        <is>
          <t>Standard</t>
        </is>
      </c>
      <c r="F58" s="11" t="n">
        <v>110.9</v>
      </c>
      <c r="G58" s="11" t="n">
        <v>104</v>
      </c>
      <c r="H58" s="11" t="n">
        <v>17.9</v>
      </c>
      <c r="I58" s="12" t="n">
        <v>8.4</v>
      </c>
      <c r="J58" s="13" t="n">
        <v>16.09</v>
      </c>
      <c r="K58" s="9">
        <f>IF(I58&lt;6,"Review","OK")</f>
        <v/>
      </c>
    </row>
    <row r="59">
      <c r="A59" s="4" t="inlineStr">
        <is>
          <t>HX055</t>
        </is>
      </c>
      <c r="B59" s="5" t="n">
        <v>46146</v>
      </c>
      <c r="C59" s="4" t="inlineStr">
        <is>
          <t>Thornscale</t>
        </is>
      </c>
      <c r="D59" s="4" t="inlineStr">
        <is>
          <t>East</t>
        </is>
      </c>
      <c r="E59" s="4" t="inlineStr">
        <is>
          <t>Fragile</t>
        </is>
      </c>
      <c r="F59" s="6" t="n">
        <v>56.7</v>
      </c>
      <c r="G59" s="6" t="n">
        <v>73</v>
      </c>
      <c r="H59" s="6" t="n">
        <v>5.7</v>
      </c>
      <c r="I59" s="7" t="n">
        <v>5.4</v>
      </c>
      <c r="J59" s="8" t="n">
        <v>14.8</v>
      </c>
      <c r="K59" s="4">
        <f>IF(I59&lt;6,"Review","OK")</f>
        <v/>
      </c>
    </row>
    <row r="60">
      <c r="A60" s="9" t="inlineStr">
        <is>
          <t>HX056</t>
        </is>
      </c>
      <c r="B60" s="10" t="n">
        <v>46148</v>
      </c>
      <c r="C60" s="9" t="inlineStr">
        <is>
          <t>Scorchwing</t>
        </is>
      </c>
      <c r="D60" s="9" t="inlineStr">
        <is>
          <t>South</t>
        </is>
      </c>
      <c r="E60" s="9" t="inlineStr">
        <is>
          <t>Standard</t>
        </is>
      </c>
      <c r="F60" s="11" t="n">
        <v>86.5</v>
      </c>
      <c r="G60" s="11" t="n">
        <v>73</v>
      </c>
      <c r="H60" s="11" t="n">
        <v>13.6</v>
      </c>
      <c r="I60" s="12" t="n">
        <v>8.699999999999999</v>
      </c>
      <c r="J60" s="13" t="n">
        <v>13.65</v>
      </c>
      <c r="K60" s="9">
        <f>IF(I60&lt;6,"Review","OK")</f>
        <v/>
      </c>
    </row>
    <row r="61">
      <c r="A61" s="4" t="inlineStr">
        <is>
          <t>HX057</t>
        </is>
      </c>
      <c r="B61" s="5" t="n">
        <v>46150</v>
      </c>
      <c r="C61" s="4" t="inlineStr">
        <is>
          <t>Frostclaw</t>
        </is>
      </c>
      <c r="D61" s="4" t="inlineStr">
        <is>
          <t>West</t>
        </is>
      </c>
      <c r="E61" s="4" t="inlineStr">
        <is>
          <t>Express</t>
        </is>
      </c>
      <c r="F61" s="6" t="n">
        <v>22.7</v>
      </c>
      <c r="G61" s="6" t="n">
        <v>49</v>
      </c>
      <c r="H61" s="6" t="n">
        <v>15.4</v>
      </c>
      <c r="I61" s="7" t="n">
        <v>5.2</v>
      </c>
      <c r="J61" s="8" t="n">
        <v>13.4</v>
      </c>
      <c r="K61" s="4">
        <f>IF(I61&lt;6,"Review","OK")</f>
        <v/>
      </c>
    </row>
    <row r="62">
      <c r="A62" s="9" t="inlineStr">
        <is>
          <t>HX058</t>
        </is>
      </c>
      <c r="B62" s="10" t="n">
        <v>46153</v>
      </c>
      <c r="C62" s="9" t="inlineStr">
        <is>
          <t>Embermaw</t>
        </is>
      </c>
      <c r="D62" s="9" t="inlineStr">
        <is>
          <t>Central</t>
        </is>
      </c>
      <c r="E62" s="9" t="inlineStr">
        <is>
          <t>Standard</t>
        </is>
      </c>
      <c r="F62" s="11" t="n">
        <v>8</v>
      </c>
      <c r="G62" s="11" t="n">
        <v>19</v>
      </c>
      <c r="H62" s="11" t="n">
        <v>3.8</v>
      </c>
      <c r="I62" s="12" t="n">
        <v>6.7</v>
      </c>
      <c r="J62" s="13" t="n">
        <v>5.8</v>
      </c>
      <c r="K62" s="9">
        <f>IF(I62&lt;6,"Review","OK")</f>
        <v/>
      </c>
    </row>
    <row r="63">
      <c r="A63" s="4" t="inlineStr">
        <is>
          <t>HX059</t>
        </is>
      </c>
      <c r="B63" s="5" t="n">
        <v>46155</v>
      </c>
      <c r="C63" s="4" t="inlineStr">
        <is>
          <t>Thornscale</t>
        </is>
      </c>
      <c r="D63" s="4" t="inlineStr">
        <is>
          <t>North</t>
        </is>
      </c>
      <c r="E63" s="4" t="inlineStr">
        <is>
          <t>Standard</t>
        </is>
      </c>
      <c r="F63" s="6" t="n">
        <v>120.5</v>
      </c>
      <c r="G63" s="6" t="n">
        <v>140</v>
      </c>
      <c r="H63" s="6" t="n">
        <v>2.6</v>
      </c>
      <c r="I63" s="7" t="n">
        <v>6</v>
      </c>
      <c r="J63" s="8" t="n">
        <v>17.05</v>
      </c>
      <c r="K63" s="4">
        <f>IF(I63&lt;6,"Review","OK")</f>
        <v/>
      </c>
    </row>
    <row r="64">
      <c r="A64" s="9" t="inlineStr">
        <is>
          <t>HX060</t>
        </is>
      </c>
      <c r="B64" s="10" t="n">
        <v>46157</v>
      </c>
      <c r="C64" s="9" t="inlineStr">
        <is>
          <t>Scorchwing</t>
        </is>
      </c>
      <c r="D64" s="9" t="inlineStr">
        <is>
          <t>East</t>
        </is>
      </c>
      <c r="E64" s="9" t="inlineStr">
        <is>
          <t>Fragile</t>
        </is>
      </c>
      <c r="F64" s="11" t="n">
        <v>72.7</v>
      </c>
      <c r="G64" s="11" t="n">
        <v>57</v>
      </c>
      <c r="H64" s="11" t="n">
        <v>11.3</v>
      </c>
      <c r="I64" s="12" t="n">
        <v>8.4</v>
      </c>
      <c r="J64" s="13" t="n">
        <v>16.72</v>
      </c>
      <c r="K64" s="9">
        <f>IF(I64&lt;6,"Review","OK")</f>
        <v/>
      </c>
    </row>
    <row r="65">
      <c r="A65" s="4" t="inlineStr">
        <is>
          <t>HX061</t>
        </is>
      </c>
      <c r="B65" s="5" t="n">
        <v>46160</v>
      </c>
      <c r="C65" s="4" t="inlineStr">
        <is>
          <t>Frostclaw</t>
        </is>
      </c>
      <c r="D65" s="4" t="inlineStr">
        <is>
          <t>South</t>
        </is>
      </c>
      <c r="E65" s="4" t="inlineStr">
        <is>
          <t>Express</t>
        </is>
      </c>
      <c r="F65" s="6" t="n">
        <v>60.1</v>
      </c>
      <c r="G65" s="6" t="n">
        <v>104</v>
      </c>
      <c r="H65" s="6" t="n">
        <v>16.9</v>
      </c>
      <c r="I65" s="7" t="n">
        <v>5.2</v>
      </c>
      <c r="J65" s="8" t="n">
        <v>19.02</v>
      </c>
      <c r="K65" s="4">
        <f>IF(I65&lt;6,"Review","OK")</f>
        <v/>
      </c>
    </row>
    <row r="66">
      <c r="A66" s="9" t="inlineStr">
        <is>
          <t>HX062</t>
        </is>
      </c>
      <c r="B66" s="10" t="n">
        <v>46162</v>
      </c>
      <c r="C66" s="9" t="inlineStr">
        <is>
          <t>Embermaw</t>
        </is>
      </c>
      <c r="D66" s="9" t="inlineStr">
        <is>
          <t>West</t>
        </is>
      </c>
      <c r="E66" s="9" t="inlineStr">
        <is>
          <t>Standard</t>
        </is>
      </c>
      <c r="F66" s="11" t="n">
        <v>29.8</v>
      </c>
      <c r="G66" s="11" t="n">
        <v>38</v>
      </c>
      <c r="H66" s="11" t="n">
        <v>7.4</v>
      </c>
      <c r="I66" s="12" t="n">
        <v>7</v>
      </c>
      <c r="J66" s="13" t="n">
        <v>7.98</v>
      </c>
      <c r="K66" s="9">
        <f>IF(I66&lt;6,"Review","OK")</f>
        <v/>
      </c>
    </row>
    <row r="67">
      <c r="A67" s="4" t="inlineStr">
        <is>
          <t>HX063</t>
        </is>
      </c>
      <c r="B67" s="5" t="n">
        <v>46164</v>
      </c>
      <c r="C67" s="4" t="inlineStr">
        <is>
          <t>Scorchwing</t>
        </is>
      </c>
      <c r="D67" s="4" t="inlineStr">
        <is>
          <t>Central</t>
        </is>
      </c>
      <c r="E67" s="4" t="inlineStr">
        <is>
          <t>Standard</t>
        </is>
      </c>
      <c r="F67" s="6" t="n">
        <v>17.8</v>
      </c>
      <c r="G67" s="6" t="n">
        <v>20</v>
      </c>
      <c r="H67" s="6" t="n">
        <v>13.7</v>
      </c>
      <c r="I67" s="7" t="n">
        <v>8.199999999999999</v>
      </c>
      <c r="J67" s="8" t="n">
        <v>6.78</v>
      </c>
      <c r="K67" s="4">
        <f>IF(I67&lt;6,"Review","OK")</f>
        <v/>
      </c>
    </row>
    <row r="68">
      <c r="A68" s="9" t="inlineStr">
        <is>
          <t>HX064</t>
        </is>
      </c>
      <c r="B68" s="10" t="n">
        <v>46167</v>
      </c>
      <c r="C68" s="9" t="inlineStr">
        <is>
          <t>Thornscale</t>
        </is>
      </c>
      <c r="D68" s="9" t="inlineStr">
        <is>
          <t>North</t>
        </is>
      </c>
      <c r="E68" s="9" t="inlineStr">
        <is>
          <t>Express</t>
        </is>
      </c>
      <c r="F68" s="11" t="n">
        <v>84.90000000000001</v>
      </c>
      <c r="G68" s="11" t="n">
        <v>96</v>
      </c>
      <c r="H68" s="11" t="n">
        <v>17.9</v>
      </c>
      <c r="I68" s="12" t="n">
        <v>7.5</v>
      </c>
      <c r="J68" s="13" t="n">
        <v>22.73</v>
      </c>
      <c r="K68" s="9">
        <f>IF(I68&lt;6,"Review","OK")</f>
        <v/>
      </c>
    </row>
    <row r="69">
      <c r="A69" s="4" t="inlineStr">
        <is>
          <t>HX065</t>
        </is>
      </c>
      <c r="B69" s="5" t="n">
        <v>46170</v>
      </c>
      <c r="C69" s="4" t="inlineStr">
        <is>
          <t>Frostclaw</t>
        </is>
      </c>
      <c r="D69" s="4" t="inlineStr">
        <is>
          <t>East</t>
        </is>
      </c>
      <c r="E69" s="4" t="inlineStr">
        <is>
          <t>Fragile</t>
        </is>
      </c>
      <c r="F69" s="6" t="n">
        <v>33.5</v>
      </c>
      <c r="G69" s="6" t="n">
        <v>58</v>
      </c>
      <c r="H69" s="6" t="n">
        <v>16.8</v>
      </c>
      <c r="I69" s="7" t="n">
        <v>4.3</v>
      </c>
      <c r="J69" s="8" t="n">
        <v>12.02</v>
      </c>
      <c r="K69" s="4">
        <f>IF(I69&lt;6,"Review","OK")</f>
        <v/>
      </c>
    </row>
    <row r="70">
      <c r="A70" s="9" t="inlineStr">
        <is>
          <t>HX066</t>
        </is>
      </c>
      <c r="B70" s="10" t="n">
        <v>46175</v>
      </c>
      <c r="C70" s="9" t="inlineStr">
        <is>
          <t>Scorchwing</t>
        </is>
      </c>
      <c r="D70" s="9" t="inlineStr">
        <is>
          <t>South</t>
        </is>
      </c>
      <c r="E70" s="9" t="inlineStr">
        <is>
          <t>Standard</t>
        </is>
      </c>
      <c r="F70" s="11" t="n">
        <v>82.3</v>
      </c>
      <c r="G70" s="11" t="n">
        <v>77</v>
      </c>
      <c r="H70" s="11" t="n">
        <v>3.3</v>
      </c>
      <c r="I70" s="12" t="n">
        <v>8.300000000000001</v>
      </c>
      <c r="J70" s="13" t="n">
        <v>13.23</v>
      </c>
      <c r="K70" s="9">
        <f>IF(I70&lt;6,"Review","OK")</f>
        <v/>
      </c>
    </row>
    <row r="71">
      <c r="A71" s="4" t="inlineStr">
        <is>
          <t>HX067</t>
        </is>
      </c>
      <c r="B71" s="5" t="n">
        <v>46177</v>
      </c>
      <c r="C71" s="4" t="inlineStr">
        <is>
          <t>Embermaw</t>
        </is>
      </c>
      <c r="D71" s="4" t="inlineStr">
        <is>
          <t>West</t>
        </is>
      </c>
      <c r="E71" s="4" t="inlineStr">
        <is>
          <t>Express</t>
        </is>
      </c>
      <c r="F71" s="6" t="n">
        <v>60</v>
      </c>
      <c r="G71" s="6" t="n">
        <v>66</v>
      </c>
      <c r="H71" s="6" t="n">
        <v>17.8</v>
      </c>
      <c r="I71" s="7" t="n">
        <v>7.7</v>
      </c>
      <c r="J71" s="8" t="n">
        <v>19</v>
      </c>
      <c r="K71" s="4">
        <f>IF(I71&lt;6,"Review","OK")</f>
        <v/>
      </c>
    </row>
    <row r="72">
      <c r="A72" s="9" t="inlineStr">
        <is>
          <t>HX068</t>
        </is>
      </c>
      <c r="B72" s="10" t="n">
        <v>46181</v>
      </c>
      <c r="C72" s="9" t="inlineStr">
        <is>
          <t>Thornscale</t>
        </is>
      </c>
      <c r="D72" s="9" t="inlineStr">
        <is>
          <t>North</t>
        </is>
      </c>
      <c r="E72" s="9" t="inlineStr">
        <is>
          <t>Standard</t>
        </is>
      </c>
      <c r="F72" s="11" t="n">
        <v>124.5</v>
      </c>
      <c r="G72" s="11" t="n">
        <v>116</v>
      </c>
      <c r="H72" s="11" t="n">
        <v>5.7</v>
      </c>
      <c r="I72" s="12" t="n">
        <v>7.1</v>
      </c>
      <c r="J72" s="13" t="n">
        <v>17.45</v>
      </c>
      <c r="K72" s="9">
        <f>IF(I72&lt;6,"Review","OK")</f>
        <v/>
      </c>
    </row>
    <row r="73">
      <c r="A73" s="4" t="inlineStr">
        <is>
          <t>HX069</t>
        </is>
      </c>
      <c r="B73" s="5" t="n">
        <v>46184</v>
      </c>
      <c r="C73" s="4" t="inlineStr">
        <is>
          <t>Scorchwing</t>
        </is>
      </c>
      <c r="D73" s="4" t="inlineStr">
        <is>
          <t>East</t>
        </is>
      </c>
      <c r="E73" s="4" t="inlineStr">
        <is>
          <t>Standard</t>
        </is>
      </c>
      <c r="F73" s="6" t="n">
        <v>61.8</v>
      </c>
      <c r="G73" s="6" t="n">
        <v>61</v>
      </c>
      <c r="H73" s="6" t="n">
        <v>2.5</v>
      </c>
      <c r="I73" s="7" t="n">
        <v>7.9</v>
      </c>
      <c r="J73" s="8" t="n">
        <v>11.18</v>
      </c>
      <c r="K73" s="4">
        <f>IF(I73&lt;6,"Review","OK")</f>
        <v/>
      </c>
    </row>
    <row r="74">
      <c r="A74" s="9" t="inlineStr">
        <is>
          <t>HX070</t>
        </is>
      </c>
      <c r="B74" s="10" t="n">
        <v>46188</v>
      </c>
      <c r="C74" s="9" t="inlineStr">
        <is>
          <t>Frostclaw</t>
        </is>
      </c>
      <c r="D74" s="9" t="inlineStr">
        <is>
          <t>Central</t>
        </is>
      </c>
      <c r="E74" s="9" t="inlineStr">
        <is>
          <t>Fragile</t>
        </is>
      </c>
      <c r="F74" s="11" t="n">
        <v>7</v>
      </c>
      <c r="G74" s="11" t="n">
        <v>26</v>
      </c>
      <c r="H74" s="11" t="n">
        <v>11.1</v>
      </c>
      <c r="I74" s="12" t="n">
        <v>4.3</v>
      </c>
      <c r="J74" s="13" t="n">
        <v>8.84</v>
      </c>
      <c r="K74" s="9">
        <f>IF(I74&lt;6,"Review","OK")</f>
        <v/>
      </c>
    </row>
    <row r="75">
      <c r="A75" s="4" t="inlineStr">
        <is>
          <t>HX071</t>
        </is>
      </c>
      <c r="B75" s="5" t="n">
        <v>46190</v>
      </c>
      <c r="C75" s="4" t="inlineStr">
        <is>
          <t>Embermaw</t>
        </is>
      </c>
      <c r="D75" s="4" t="inlineStr">
        <is>
          <t>West</t>
        </is>
      </c>
      <c r="E75" s="4" t="inlineStr">
        <is>
          <t>Express</t>
        </is>
      </c>
      <c r="F75" s="6" t="n">
        <v>54.4</v>
      </c>
      <c r="G75" s="6" t="n">
        <v>52</v>
      </c>
      <c r="H75" s="6" t="n">
        <v>5.1</v>
      </c>
      <c r="I75" s="7" t="n">
        <v>7.8</v>
      </c>
      <c r="J75" s="8" t="n">
        <v>18.16</v>
      </c>
      <c r="K75" s="4">
        <f>IF(I75&lt;6,"Review","OK")</f>
        <v/>
      </c>
    </row>
    <row r="76">
      <c r="A76" s="9" t="inlineStr">
        <is>
          <t>HX072</t>
        </is>
      </c>
      <c r="B76" s="10" t="n">
        <v>46194</v>
      </c>
      <c r="C76" s="9" t="inlineStr">
        <is>
          <t>Thornscale</t>
        </is>
      </c>
      <c r="D76" s="9" t="inlineStr">
        <is>
          <t>North</t>
        </is>
      </c>
      <c r="E76" s="9" t="inlineStr">
        <is>
          <t>Standard</t>
        </is>
      </c>
      <c r="F76" s="11" t="n">
        <v>113.2</v>
      </c>
      <c r="G76" s="11" t="n">
        <v>141</v>
      </c>
      <c r="H76" s="11" t="n">
        <v>2.1</v>
      </c>
      <c r="I76" s="12" t="n">
        <v>7.2</v>
      </c>
      <c r="J76" s="13" t="n">
        <v>16.32</v>
      </c>
      <c r="K76" s="9">
        <f>IF(I76&lt;6,"Review","OK")</f>
        <v/>
      </c>
    </row>
    <row r="77">
      <c r="A77" s="4" t="inlineStr">
        <is>
          <t>HX073</t>
        </is>
      </c>
      <c r="B77" s="5" t="n">
        <v>46197</v>
      </c>
      <c r="C77" s="4" t="inlineStr">
        <is>
          <t>Scorchwing</t>
        </is>
      </c>
      <c r="D77" s="4" t="inlineStr">
        <is>
          <t>South</t>
        </is>
      </c>
      <c r="E77" s="4" t="inlineStr">
        <is>
          <t>Standard</t>
        </is>
      </c>
      <c r="F77" s="6" t="n">
        <v>60.3</v>
      </c>
      <c r="G77" s="6" t="n">
        <v>49</v>
      </c>
      <c r="H77" s="6" t="n">
        <v>14</v>
      </c>
      <c r="I77" s="7" t="n">
        <v>7.6</v>
      </c>
      <c r="J77" s="8" t="n">
        <v>11.03</v>
      </c>
      <c r="K77" s="4">
        <f>IF(I77&lt;6,"Review","OK")</f>
        <v/>
      </c>
    </row>
    <row r="78">
      <c r="A78" s="9" t="inlineStr">
        <is>
          <t>HX074</t>
        </is>
      </c>
      <c r="B78" s="10" t="n">
        <v>46199</v>
      </c>
      <c r="C78" s="9" t="inlineStr">
        <is>
          <t>Frostclaw</t>
        </is>
      </c>
      <c r="D78" s="9" t="inlineStr">
        <is>
          <t>East</t>
        </is>
      </c>
      <c r="E78" s="9" t="inlineStr">
        <is>
          <t>Express</t>
        </is>
      </c>
      <c r="F78" s="11" t="n">
        <v>60.6</v>
      </c>
      <c r="G78" s="11" t="n">
        <v>94</v>
      </c>
      <c r="H78" s="11" t="n">
        <v>10.2</v>
      </c>
      <c r="I78" s="12" t="n">
        <v>5.7</v>
      </c>
      <c r="J78" s="13" t="n">
        <v>19.09</v>
      </c>
      <c r="K78" s="9">
        <f>IF(I78&lt;6,"Review","OK")</f>
        <v/>
      </c>
    </row>
    <row r="79">
      <c r="A79" s="4" t="inlineStr">
        <is>
          <t>HX075</t>
        </is>
      </c>
      <c r="B79" s="5" t="n">
        <v>46202</v>
      </c>
      <c r="C79" s="4" t="inlineStr">
        <is>
          <t>Embermaw</t>
        </is>
      </c>
      <c r="D79" s="4" t="inlineStr">
        <is>
          <t>West</t>
        </is>
      </c>
      <c r="E79" s="4" t="inlineStr">
        <is>
          <t>Standard</t>
        </is>
      </c>
      <c r="F79" s="6" t="n">
        <v>40.5</v>
      </c>
      <c r="G79" s="6" t="n">
        <v>38</v>
      </c>
      <c r="H79" s="6" t="n">
        <v>16</v>
      </c>
      <c r="I79" s="7" t="n">
        <v>6.7</v>
      </c>
      <c r="J79" s="8" t="n">
        <v>9.050000000000001</v>
      </c>
      <c r="K79" s="4">
        <f>IF(I79&lt;6,"Review","OK")</f>
        <v/>
      </c>
    </row>
  </sheetData>
  <mergeCells count="2">
    <mergeCell ref="A2:K2"/>
    <mergeCell ref="A1:K1"/>
  </mergeCells>
  <conditionalFormatting sqref="I5:I79">
    <cfRule type="cellIs" priority="1" operator="lessThan" dxfId="0">
      <formula>6</formula>
    </cfRule>
    <cfRule type="cellIs" priority="2" operator="greaterThanOrEqual" dxfId="1">
      <formula>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4" customWidth="1" min="4" max="4"/>
    <col width="18" customWidth="1" min="5" max="5"/>
    <col width="18" customWidth="1" min="6" max="6"/>
  </cols>
  <sheetData>
    <row r="1" ht="26" customHeight="1">
      <c r="A1" s="19" t="inlineStr">
        <is>
          <t>DRAGON PERFORMANCE SUMMARY — Example of what your Pivot Table should show</t>
        </is>
      </c>
    </row>
    <row r="2" ht="16" customHeight="1">
      <c r="A2" s="20" t="inlineStr">
        <is>
          <t>This table shows the reference values. Your actual Pivot Table on Pivot_Work will match these figures.</t>
        </is>
      </c>
    </row>
    <row r="3" ht="8" customHeight="1"/>
    <row r="4" ht="20" customHeight="1">
      <c r="A4" s="3" t="inlineStr">
        <is>
          <t>Dragon</t>
        </is>
      </c>
      <c r="B4" s="3" t="inlineStr">
        <is>
          <t>Deliveries</t>
        </is>
      </c>
      <c r="C4" s="3" t="inlineStr">
        <is>
          <t>Avg Customer Score</t>
        </is>
      </c>
      <c r="D4" s="3" t="inlineStr">
        <is>
          <t>Avg Delivery Time (min)</t>
        </is>
      </c>
      <c r="E4" s="3" t="inlineStr">
        <is>
          <t>Total Revenue (£)</t>
        </is>
      </c>
      <c r="F4" s="3" t="inlineStr">
        <is>
          <t>Review Flag Count</t>
        </is>
      </c>
    </row>
    <row r="5" ht="20" customHeight="1">
      <c r="A5" s="21" t="inlineStr">
        <is>
          <t>Scorchwing</t>
        </is>
      </c>
      <c r="B5" s="21" t="n">
        <v>22</v>
      </c>
      <c r="C5" s="21" t="n">
        <v>8.44</v>
      </c>
      <c r="D5" s="21" t="n">
        <v>55</v>
      </c>
      <c r="E5" s="21" t="n">
        <v>310.42</v>
      </c>
      <c r="F5" s="21" t="n">
        <v>0</v>
      </c>
    </row>
    <row r="6" ht="20" customHeight="1">
      <c r="A6" s="22" t="inlineStr">
        <is>
          <t>Embermaw</t>
        </is>
      </c>
      <c r="B6" s="22" t="n">
        <v>18</v>
      </c>
      <c r="C6" s="22" t="n">
        <v>7.38</v>
      </c>
      <c r="D6" s="22" t="n">
        <v>50.8</v>
      </c>
      <c r="E6" s="22" t="n">
        <v>237.51</v>
      </c>
      <c r="F6" s="22" t="n">
        <v>0</v>
      </c>
    </row>
    <row r="7" ht="20" customHeight="1">
      <c r="A7" s="21" t="inlineStr">
        <is>
          <t>Thornscale</t>
        </is>
      </c>
      <c r="B7" s="21" t="n">
        <v>17</v>
      </c>
      <c r="C7" s="21" t="n">
        <v>6.64</v>
      </c>
      <c r="D7" s="21" t="n">
        <v>97.8</v>
      </c>
      <c r="E7" s="21" t="n">
        <v>280.77</v>
      </c>
      <c r="F7" s="21" t="n">
        <v>2</v>
      </c>
    </row>
    <row r="8" ht="20" customHeight="1">
      <c r="A8" s="22" t="inlineStr">
        <is>
          <t>Frostclaw</t>
        </is>
      </c>
      <c r="B8" s="22" t="n">
        <v>18</v>
      </c>
      <c r="C8" s="22" t="n">
        <v>4.83</v>
      </c>
      <c r="D8" s="22" t="n">
        <v>98.2</v>
      </c>
      <c r="E8" s="22" t="n">
        <v>243.7</v>
      </c>
      <c r="F8" s="22" t="n">
        <v>17</v>
      </c>
    </row>
    <row r="9" ht="20" customHeight="1">
      <c r="A9" s="23" t="inlineStr">
        <is>
          <t>Grand Total</t>
        </is>
      </c>
      <c r="B9" s="23" t="n">
        <v>75</v>
      </c>
      <c r="C9" s="23" t="n">
        <v>6.91</v>
      </c>
      <c r="D9" s="23" t="n">
        <v>74.09999999999999</v>
      </c>
      <c r="E9" s="23" t="n">
        <v>1072.4</v>
      </c>
      <c r="F9" s="23" t="n">
        <v>19</v>
      </c>
    </row>
    <row r="10" ht="12" customHeight="1"/>
    <row r="11" ht="20" customHeight="1">
      <c r="A11" s="24" t="inlineStr">
        <is>
          <t xml:space="preserve">  PATTERN TO SPOT: Which dragon has the highest average score? Which has the lowest?</t>
        </is>
      </c>
    </row>
    <row r="12" ht="20" customHeight="1">
      <c r="A12" s="25" t="inlineStr">
        <is>
          <t xml:space="preserve">  Scorchwing has the highest average score. Frostclaw has the lowest. This is the key business finding.</t>
        </is>
      </c>
    </row>
  </sheetData>
  <mergeCells count="4">
    <mergeCell ref="A2:F2"/>
    <mergeCell ref="A11:F11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8" customWidth="1" min="4" max="4"/>
    <col width="16" customWidth="1" min="5" max="5"/>
  </cols>
  <sheetData>
    <row r="1" ht="26" customHeight="1">
      <c r="A1" s="19" t="inlineStr">
        <is>
          <t>ZONE PERFORMANCE SUMMARY — Example of what your Pivot Table should show</t>
        </is>
      </c>
    </row>
    <row r="2" ht="16" customHeight="1">
      <c r="A2" s="20" t="inlineStr">
        <is>
          <t>This table shows the reference values. Your Pivot Table will produce the same results.</t>
        </is>
      </c>
    </row>
    <row r="3" ht="8" customHeight="1"/>
    <row r="4" ht="20" customHeight="1">
      <c r="A4" s="3" t="inlineStr">
        <is>
          <t>Zone</t>
        </is>
      </c>
      <c r="B4" s="3" t="inlineStr">
        <is>
          <t>Deliveries</t>
        </is>
      </c>
      <c r="C4" s="3" t="inlineStr">
        <is>
          <t>Avg Distance (km)</t>
        </is>
      </c>
      <c r="D4" s="3" t="inlineStr">
        <is>
          <t>Total Revenue (£)</t>
        </is>
      </c>
      <c r="E4" s="3" t="inlineStr">
        <is>
          <t>Avg Revenue (£)</t>
        </is>
      </c>
    </row>
    <row r="5" ht="20" customHeight="1">
      <c r="A5" s="21" t="inlineStr">
        <is>
          <t>North</t>
        </is>
      </c>
      <c r="B5" s="21" t="n">
        <v>17</v>
      </c>
      <c r="C5" s="21" t="n">
        <v>116.3</v>
      </c>
      <c r="D5" s="21" t="n">
        <v>337</v>
      </c>
      <c r="E5" s="21" t="n">
        <v>19.82</v>
      </c>
    </row>
    <row r="6" ht="20" customHeight="1">
      <c r="A6" s="22" t="inlineStr">
        <is>
          <t>South</t>
        </is>
      </c>
      <c r="B6" s="22" t="n">
        <v>15</v>
      </c>
      <c r="C6" s="22" t="n">
        <v>67.3</v>
      </c>
      <c r="D6" s="22" t="n">
        <v>229.3</v>
      </c>
      <c r="E6" s="22" t="n">
        <v>15.29</v>
      </c>
    </row>
    <row r="7" ht="20" customHeight="1">
      <c r="A7" s="21" t="inlineStr">
        <is>
          <t>East</t>
        </is>
      </c>
      <c r="B7" s="21" t="n">
        <v>16</v>
      </c>
      <c r="C7" s="21" t="n">
        <v>54</v>
      </c>
      <c r="D7" s="21" t="n">
        <v>214.33</v>
      </c>
      <c r="E7" s="21" t="n">
        <v>13.4</v>
      </c>
    </row>
    <row r="8" ht="20" customHeight="1">
      <c r="A8" s="22" t="inlineStr">
        <is>
          <t>West</t>
        </is>
      </c>
      <c r="B8" s="22" t="n">
        <v>16</v>
      </c>
      <c r="C8" s="22" t="n">
        <v>42.8</v>
      </c>
      <c r="D8" s="22" t="n">
        <v>208.1</v>
      </c>
      <c r="E8" s="22" t="n">
        <v>13.01</v>
      </c>
    </row>
    <row r="9" ht="20" customHeight="1">
      <c r="A9" s="21" t="inlineStr">
        <is>
          <t>Central</t>
        </is>
      </c>
      <c r="B9" s="21" t="n">
        <v>11</v>
      </c>
      <c r="C9" s="21" t="n">
        <v>12.8</v>
      </c>
      <c r="D9" s="21" t="n">
        <v>83.67</v>
      </c>
      <c r="E9" s="21" t="n">
        <v>7.61</v>
      </c>
    </row>
    <row r="10" ht="12" customHeight="1"/>
    <row r="11" ht="20" customHeight="1">
      <c r="A11" s="24" t="inlineStr">
        <is>
          <t xml:space="preserve">  PATTERN TO SPOT: Which zone generates most revenue per delivery? Which zone generates least?</t>
        </is>
      </c>
    </row>
    <row r="12" ht="20" customHeight="1">
      <c r="A12" s="25" t="inlineStr">
        <is>
          <t xml:space="preserve">  North zone has highest avg revenue (long distances). Central zone has lowest (very short distances).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20" customWidth="1" min="4" max="4"/>
    <col width="24" customWidth="1" min="5" max="5"/>
  </cols>
  <sheetData>
    <row r="1" ht="26" customHeight="1">
      <c r="A1" s="19" t="inlineStr">
        <is>
          <t>MONTHLY DELIVERY SUMMARY — Example of what your Timeline + Pivot should show</t>
        </is>
      </c>
    </row>
    <row r="2" ht="16" customHeight="1">
      <c r="A2" s="20" t="inlineStr">
        <is>
          <t>This table shows monthly totals. Use a Timeline on your Pivot Table to see this interactively.</t>
        </is>
      </c>
    </row>
    <row r="3" ht="8" customHeight="1"/>
    <row r="4" ht="20" customHeight="1">
      <c r="A4" s="3" t="inlineStr">
        <is>
          <t>Month</t>
        </is>
      </c>
      <c r="B4" s="3" t="inlineStr">
        <is>
          <t>Deliveries</t>
        </is>
      </c>
      <c r="C4" s="3" t="inlineStr">
        <is>
          <t>Total Revenue (£)</t>
        </is>
      </c>
      <c r="D4" s="3" t="inlineStr">
        <is>
          <t>Avg Customer Score</t>
        </is>
      </c>
      <c r="E4" s="3" t="inlineStr">
        <is>
          <t>Avg Delivery Time (min)</t>
        </is>
      </c>
    </row>
    <row r="5" ht="20" customHeight="1">
      <c r="A5" s="21" t="inlineStr">
        <is>
          <t>January 2026</t>
        </is>
      </c>
      <c r="B5" s="21" t="n">
        <v>10</v>
      </c>
      <c r="C5" s="21" t="n">
        <v>147.65</v>
      </c>
      <c r="D5" s="21" t="n">
        <v>7.16</v>
      </c>
      <c r="E5" s="21" t="n">
        <v>73</v>
      </c>
    </row>
    <row r="6" ht="20" customHeight="1">
      <c r="A6" s="22" t="inlineStr">
        <is>
          <t>February 2026</t>
        </is>
      </c>
      <c r="B6" s="22" t="n">
        <v>10</v>
      </c>
      <c r="C6" s="22" t="n">
        <v>146.47</v>
      </c>
      <c r="D6" s="22" t="n">
        <v>6.67</v>
      </c>
      <c r="E6" s="22" t="n">
        <v>81.09999999999999</v>
      </c>
    </row>
    <row r="7" ht="20" customHeight="1">
      <c r="A7" s="21" t="inlineStr">
        <is>
          <t>March 2026</t>
        </is>
      </c>
      <c r="B7" s="21" t="n">
        <v>18</v>
      </c>
      <c r="C7" s="21" t="n">
        <v>257.58</v>
      </c>
      <c r="D7" s="21" t="n">
        <v>6.82</v>
      </c>
      <c r="E7" s="21" t="n">
        <v>78.40000000000001</v>
      </c>
    </row>
    <row r="8" ht="20" customHeight="1">
      <c r="A8" s="22" t="inlineStr">
        <is>
          <t>April 2026</t>
        </is>
      </c>
      <c r="B8" s="22" t="n">
        <v>15</v>
      </c>
      <c r="C8" s="22" t="n">
        <v>211.31</v>
      </c>
      <c r="D8" s="22" t="n">
        <v>7.07</v>
      </c>
      <c r="E8" s="22" t="n">
        <v>70.09999999999999</v>
      </c>
    </row>
    <row r="9" ht="20" customHeight="1">
      <c r="A9" s="21" t="inlineStr">
        <is>
          <t>May 2026</t>
        </is>
      </c>
      <c r="B9" s="21" t="n">
        <v>12</v>
      </c>
      <c r="C9" s="21" t="n">
        <v>166.04</v>
      </c>
      <c r="D9" s="21" t="n">
        <v>6.75</v>
      </c>
      <c r="E9" s="21" t="n">
        <v>69.2</v>
      </c>
    </row>
    <row r="10" ht="20" customHeight="1">
      <c r="A10" s="22" t="inlineStr">
        <is>
          <t>June 2026</t>
        </is>
      </c>
      <c r="B10" s="22" t="n">
        <v>10</v>
      </c>
      <c r="C10" s="22" t="n">
        <v>143.35</v>
      </c>
      <c r="D10" s="22" t="n">
        <v>7.03</v>
      </c>
      <c r="E10" s="22" t="n">
        <v>72</v>
      </c>
    </row>
    <row r="11" ht="12" customHeight="1"/>
    <row r="12" ht="20" customHeight="1">
      <c r="A12" s="24" t="inlineStr">
        <is>
          <t xml:space="preserve">  PATTERN TO SPOT: Which month had the most deliveries? When did activity peak?</t>
        </is>
      </c>
    </row>
    <row r="13" ht="20" customHeight="1">
      <c r="A13" s="25" t="inlineStr">
        <is>
          <t xml:space="preserve">  March 2026 had 18 deliveries — the busiest month. Activity dipped in June (10 deliveries).</t>
        </is>
      </c>
    </row>
  </sheetData>
  <mergeCells count="4">
    <mergeCell ref="A2:E2"/>
    <mergeCell ref="A13:E13"/>
    <mergeCell ref="A1:E1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</cols>
  <sheetData>
    <row r="1" ht="26" customHeight="1">
      <c r="A1" s="19" t="inlineStr">
        <is>
          <t>SCATTER CHART DATA — Distance vs Delivery Time</t>
        </is>
      </c>
    </row>
    <row r="2" ht="16" customHeight="1">
      <c r="A2" s="20" t="inlineStr">
        <is>
          <t>Use this data to create a scatter chart in Excel. Add a linear trendline and display the equation and R².</t>
        </is>
      </c>
    </row>
    <row r="3" ht="8" customHeight="1"/>
    <row r="4" ht="20" customHeight="1">
      <c r="A4" s="3" t="inlineStr">
        <is>
          <t>DeliveryID</t>
        </is>
      </c>
      <c r="B4" s="3" t="inlineStr">
        <is>
          <t>DistanceKm</t>
        </is>
      </c>
      <c r="C4" s="3" t="inlineStr">
        <is>
          <t>DeliveryTimeMin</t>
        </is>
      </c>
      <c r="D4" s="3" t="inlineStr">
        <is>
          <t>PackageType</t>
        </is>
      </c>
    </row>
    <row r="5" ht="18" customHeight="1">
      <c r="A5" s="21" t="inlineStr">
        <is>
          <t>HX035</t>
        </is>
      </c>
      <c r="B5" s="21" t="n">
        <v>6.3</v>
      </c>
      <c r="C5" s="21" t="n">
        <v>27</v>
      </c>
      <c r="D5" s="21" t="inlineStr">
        <is>
          <t>Standard</t>
        </is>
      </c>
    </row>
    <row r="6" ht="18" customHeight="1">
      <c r="A6" s="22" t="inlineStr">
        <is>
          <t>HX070</t>
        </is>
      </c>
      <c r="B6" s="22" t="n">
        <v>7</v>
      </c>
      <c r="C6" s="22" t="n">
        <v>26</v>
      </c>
      <c r="D6" s="22" t="inlineStr">
        <is>
          <t>Fragile</t>
        </is>
      </c>
    </row>
    <row r="7" ht="18" customHeight="1">
      <c r="A7" s="21" t="inlineStr">
        <is>
          <t>HX058</t>
        </is>
      </c>
      <c r="B7" s="21" t="n">
        <v>8</v>
      </c>
      <c r="C7" s="21" t="n">
        <v>19</v>
      </c>
      <c r="D7" s="21" t="inlineStr">
        <is>
          <t>Standard</t>
        </is>
      </c>
    </row>
    <row r="8" ht="18" customHeight="1">
      <c r="A8" s="22" t="inlineStr">
        <is>
          <t>HX043</t>
        </is>
      </c>
      <c r="B8" s="22" t="n">
        <v>9.1</v>
      </c>
      <c r="C8" s="22" t="n">
        <v>15</v>
      </c>
      <c r="D8" s="22" t="inlineStr">
        <is>
          <t>Express</t>
        </is>
      </c>
    </row>
    <row r="9" ht="18" customHeight="1">
      <c r="A9" s="21" t="inlineStr">
        <is>
          <t>HX005</t>
        </is>
      </c>
      <c r="B9" s="21" t="n">
        <v>9.199999999999999</v>
      </c>
      <c r="C9" s="21" t="n">
        <v>15</v>
      </c>
      <c r="D9" s="21" t="inlineStr">
        <is>
          <t>Standard</t>
        </is>
      </c>
    </row>
    <row r="10" ht="18" customHeight="1">
      <c r="A10" s="22" t="inlineStr">
        <is>
          <t>HX049</t>
        </is>
      </c>
      <c r="B10" s="22" t="n">
        <v>9.699999999999999</v>
      </c>
      <c r="C10" s="22" t="n">
        <v>21</v>
      </c>
      <c r="D10" s="22" t="inlineStr">
        <is>
          <t>Standard</t>
        </is>
      </c>
    </row>
    <row r="11" ht="18" customHeight="1">
      <c r="A11" s="21" t="inlineStr">
        <is>
          <t>HX028</t>
        </is>
      </c>
      <c r="B11" s="21" t="n">
        <v>13.6</v>
      </c>
      <c r="C11" s="21" t="n">
        <v>21</v>
      </c>
      <c r="D11" s="21" t="inlineStr">
        <is>
          <t>Standard</t>
        </is>
      </c>
    </row>
    <row r="12" ht="18" customHeight="1">
      <c r="A12" s="26" t="inlineStr">
        <is>
          <t>HX023</t>
        </is>
      </c>
      <c r="B12" s="26" t="n">
        <v>15</v>
      </c>
      <c r="C12" s="26" t="n">
        <v>189</v>
      </c>
      <c r="D12" s="26" t="inlineStr">
        <is>
          <t>Standard</t>
        </is>
      </c>
    </row>
    <row r="13" ht="18" customHeight="1">
      <c r="A13" s="21" t="inlineStr">
        <is>
          <t>HX063</t>
        </is>
      </c>
      <c r="B13" s="21" t="n">
        <v>17.8</v>
      </c>
      <c r="C13" s="21" t="n">
        <v>20</v>
      </c>
      <c r="D13" s="21" t="inlineStr">
        <is>
          <t>Standard</t>
        </is>
      </c>
    </row>
    <row r="14" ht="18" customHeight="1">
      <c r="A14" s="22" t="inlineStr">
        <is>
          <t>HX010</t>
        </is>
      </c>
      <c r="B14" s="22" t="n">
        <v>20.8</v>
      </c>
      <c r="C14" s="22" t="n">
        <v>29</v>
      </c>
      <c r="D14" s="22" t="inlineStr">
        <is>
          <t>Express</t>
        </is>
      </c>
    </row>
    <row r="15" ht="18" customHeight="1">
      <c r="A15" s="21" t="inlineStr">
        <is>
          <t>HX004</t>
        </is>
      </c>
      <c r="B15" s="21" t="n">
        <v>21.3</v>
      </c>
      <c r="C15" s="21" t="n">
        <v>30</v>
      </c>
      <c r="D15" s="21" t="inlineStr">
        <is>
          <t>Fragile</t>
        </is>
      </c>
    </row>
    <row r="16" ht="18" customHeight="1">
      <c r="A16" s="22" t="inlineStr">
        <is>
          <t>HX057</t>
        </is>
      </c>
      <c r="B16" s="22" t="n">
        <v>22.7</v>
      </c>
      <c r="C16" s="22" t="n">
        <v>49</v>
      </c>
      <c r="D16" s="22" t="inlineStr">
        <is>
          <t>Express</t>
        </is>
      </c>
    </row>
    <row r="17" ht="18" customHeight="1">
      <c r="A17" s="21" t="inlineStr">
        <is>
          <t>HX016</t>
        </is>
      </c>
      <c r="B17" s="21" t="n">
        <v>23.8</v>
      </c>
      <c r="C17" s="21" t="n">
        <v>27</v>
      </c>
      <c r="D17" s="21" t="inlineStr">
        <is>
          <t>Standard</t>
        </is>
      </c>
    </row>
    <row r="18" ht="18" customHeight="1">
      <c r="A18" s="22" t="inlineStr">
        <is>
          <t>HX048</t>
        </is>
      </c>
      <c r="B18" s="22" t="n">
        <v>29.1</v>
      </c>
      <c r="C18" s="22" t="n">
        <v>56</v>
      </c>
      <c r="D18" s="22" t="inlineStr">
        <is>
          <t>Standard</t>
        </is>
      </c>
    </row>
    <row r="19" ht="18" customHeight="1">
      <c r="A19" s="21" t="inlineStr">
        <is>
          <t>HX062</t>
        </is>
      </c>
      <c r="B19" s="21" t="n">
        <v>29.8</v>
      </c>
      <c r="C19" s="21" t="n">
        <v>38</v>
      </c>
      <c r="D19" s="21" t="inlineStr">
        <is>
          <t>Standard</t>
        </is>
      </c>
    </row>
    <row r="20" ht="18" customHeight="1">
      <c r="A20" s="22" t="inlineStr">
        <is>
          <t>HX026</t>
        </is>
      </c>
      <c r="B20" s="22" t="n">
        <v>30.6</v>
      </c>
      <c r="C20" s="22" t="n">
        <v>39</v>
      </c>
      <c r="D20" s="22" t="inlineStr">
        <is>
          <t>Standard</t>
        </is>
      </c>
    </row>
    <row r="21" ht="18" customHeight="1">
      <c r="A21" s="21" t="inlineStr">
        <is>
          <t>HX014</t>
        </is>
      </c>
      <c r="B21" s="21" t="n">
        <v>32.8</v>
      </c>
      <c r="C21" s="21" t="n">
        <v>44</v>
      </c>
      <c r="D21" s="21" t="inlineStr">
        <is>
          <t>Fragile</t>
        </is>
      </c>
    </row>
    <row r="22" ht="18" customHeight="1">
      <c r="A22" s="22" t="inlineStr">
        <is>
          <t>HX041</t>
        </is>
      </c>
      <c r="B22" s="22" t="n">
        <v>33.4</v>
      </c>
      <c r="C22" s="22" t="n">
        <v>40</v>
      </c>
      <c r="D22" s="22" t="inlineStr">
        <is>
          <t>Fragile</t>
        </is>
      </c>
    </row>
    <row r="23" ht="18" customHeight="1">
      <c r="A23" s="21" t="inlineStr">
        <is>
          <t>HX065</t>
        </is>
      </c>
      <c r="B23" s="21" t="n">
        <v>33.5</v>
      </c>
      <c r="C23" s="21" t="n">
        <v>58</v>
      </c>
      <c r="D23" s="21" t="inlineStr">
        <is>
          <t>Fragile</t>
        </is>
      </c>
    </row>
    <row r="24" ht="18" customHeight="1">
      <c r="A24" s="22" t="inlineStr">
        <is>
          <t>HX012</t>
        </is>
      </c>
      <c r="B24" s="22" t="n">
        <v>33.8</v>
      </c>
      <c r="C24" s="22" t="n">
        <v>30</v>
      </c>
      <c r="D24" s="22" t="inlineStr">
        <is>
          <t>Standard</t>
        </is>
      </c>
    </row>
    <row r="25" ht="18" customHeight="1">
      <c r="A25" s="21" t="inlineStr">
        <is>
          <t>HX030</t>
        </is>
      </c>
      <c r="B25" s="21" t="n">
        <v>34.3</v>
      </c>
      <c r="C25" s="21" t="n">
        <v>67</v>
      </c>
      <c r="D25" s="21" t="inlineStr">
        <is>
          <t>Standard</t>
        </is>
      </c>
    </row>
    <row r="26" ht="18" customHeight="1">
      <c r="A26" s="22" t="inlineStr">
        <is>
          <t>HX053</t>
        </is>
      </c>
      <c r="B26" s="22" t="n">
        <v>38.2</v>
      </c>
      <c r="C26" s="22" t="n">
        <v>42</v>
      </c>
      <c r="D26" s="22" t="inlineStr">
        <is>
          <t>Express</t>
        </is>
      </c>
    </row>
    <row r="27" ht="18" customHeight="1">
      <c r="A27" s="21" t="inlineStr">
        <is>
          <t>HX032</t>
        </is>
      </c>
      <c r="B27" s="21" t="n">
        <v>40</v>
      </c>
      <c r="C27" s="21" t="n">
        <v>42</v>
      </c>
      <c r="D27" s="21" t="inlineStr">
        <is>
          <t>Express</t>
        </is>
      </c>
    </row>
    <row r="28" ht="18" customHeight="1">
      <c r="A28" s="22" t="inlineStr">
        <is>
          <t>HX075</t>
        </is>
      </c>
      <c r="B28" s="22" t="n">
        <v>40.5</v>
      </c>
      <c r="C28" s="22" t="n">
        <v>38</v>
      </c>
      <c r="D28" s="22" t="inlineStr">
        <is>
          <t>Standard</t>
        </is>
      </c>
    </row>
    <row r="29" ht="18" customHeight="1">
      <c r="A29" s="21" t="inlineStr">
        <is>
          <t>HX039</t>
        </is>
      </c>
      <c r="B29" s="21" t="n">
        <v>41</v>
      </c>
      <c r="C29" s="21" t="n">
        <v>38</v>
      </c>
      <c r="D29" s="21" t="inlineStr">
        <is>
          <t>Express</t>
        </is>
      </c>
    </row>
    <row r="30" ht="18" customHeight="1">
      <c r="A30" s="22" t="inlineStr">
        <is>
          <t>HX044</t>
        </is>
      </c>
      <c r="B30" s="22" t="n">
        <v>42.7</v>
      </c>
      <c r="C30" s="22" t="n">
        <v>51</v>
      </c>
      <c r="D30" s="22" t="inlineStr">
        <is>
          <t>Standard</t>
        </is>
      </c>
    </row>
    <row r="31" ht="18" customHeight="1">
      <c r="A31" s="21" t="inlineStr">
        <is>
          <t>HX018</t>
        </is>
      </c>
      <c r="B31" s="21" t="n">
        <v>45.1</v>
      </c>
      <c r="C31" s="21" t="n">
        <v>45</v>
      </c>
      <c r="D31" s="21" t="inlineStr">
        <is>
          <t>Standard</t>
        </is>
      </c>
    </row>
    <row r="32" ht="18" customHeight="1">
      <c r="A32" s="22" t="inlineStr">
        <is>
          <t>HX009</t>
        </is>
      </c>
      <c r="B32" s="22" t="n">
        <v>45.7</v>
      </c>
      <c r="C32" s="22" t="n">
        <v>48</v>
      </c>
      <c r="D32" s="22" t="inlineStr">
        <is>
          <t>Fragile</t>
        </is>
      </c>
    </row>
    <row r="33" ht="18" customHeight="1">
      <c r="A33" s="21" t="inlineStr">
        <is>
          <t>HX022</t>
        </is>
      </c>
      <c r="B33" s="21" t="n">
        <v>49.2</v>
      </c>
      <c r="C33" s="21" t="n">
        <v>48</v>
      </c>
      <c r="D33" s="21" t="inlineStr">
        <is>
          <t>Express</t>
        </is>
      </c>
    </row>
    <row r="34" ht="18" customHeight="1">
      <c r="A34" s="22" t="inlineStr">
        <is>
          <t>HX038</t>
        </is>
      </c>
      <c r="B34" s="22" t="n">
        <v>49.7</v>
      </c>
      <c r="C34" s="22" t="n">
        <v>58</v>
      </c>
      <c r="D34" s="22" t="inlineStr">
        <is>
          <t>Standard</t>
        </is>
      </c>
    </row>
    <row r="35" ht="18" customHeight="1">
      <c r="A35" s="21" t="inlineStr">
        <is>
          <t>HX003</t>
        </is>
      </c>
      <c r="B35" s="21" t="n">
        <v>50.3</v>
      </c>
      <c r="C35" s="21" t="n">
        <v>46</v>
      </c>
      <c r="D35" s="21" t="inlineStr">
        <is>
          <t>Standard</t>
        </is>
      </c>
    </row>
    <row r="36" ht="18" customHeight="1">
      <c r="A36" s="22" t="inlineStr">
        <is>
          <t>HX027</t>
        </is>
      </c>
      <c r="B36" s="22" t="n">
        <v>52.8</v>
      </c>
      <c r="C36" s="22" t="n">
        <v>95</v>
      </c>
      <c r="D36" s="22" t="inlineStr">
        <is>
          <t>Fragile</t>
        </is>
      </c>
    </row>
    <row r="37" ht="18" customHeight="1">
      <c r="A37" s="21" t="inlineStr">
        <is>
          <t>HX036</t>
        </is>
      </c>
      <c r="B37" s="21" t="n">
        <v>52.8</v>
      </c>
      <c r="C37" s="21" t="n">
        <v>57</v>
      </c>
      <c r="D37" s="21" t="inlineStr">
        <is>
          <t>Express</t>
        </is>
      </c>
    </row>
    <row r="38" ht="18" customHeight="1">
      <c r="A38" s="22" t="inlineStr">
        <is>
          <t>HX071</t>
        </is>
      </c>
      <c r="B38" s="22" t="n">
        <v>54.4</v>
      </c>
      <c r="C38" s="22" t="n">
        <v>52</v>
      </c>
      <c r="D38" s="22" t="inlineStr">
        <is>
          <t>Express</t>
        </is>
      </c>
    </row>
    <row r="39" ht="18" customHeight="1">
      <c r="A39" s="21" t="inlineStr">
        <is>
          <t>HX055</t>
        </is>
      </c>
      <c r="B39" s="21" t="n">
        <v>56.7</v>
      </c>
      <c r="C39" s="21" t="n">
        <v>73</v>
      </c>
      <c r="D39" s="21" t="inlineStr">
        <is>
          <t>Fragile</t>
        </is>
      </c>
    </row>
    <row r="40" ht="18" customHeight="1">
      <c r="A40" s="22" t="inlineStr">
        <is>
          <t>HX047</t>
        </is>
      </c>
      <c r="B40" s="22" t="n">
        <v>59.3</v>
      </c>
      <c r="C40" s="22" t="n">
        <v>68</v>
      </c>
      <c r="D40" s="22" t="inlineStr">
        <is>
          <t>Express</t>
        </is>
      </c>
    </row>
    <row r="41" ht="18" customHeight="1">
      <c r="A41" s="21" t="inlineStr">
        <is>
          <t>HX067</t>
        </is>
      </c>
      <c r="B41" s="21" t="n">
        <v>60</v>
      </c>
      <c r="C41" s="21" t="n">
        <v>66</v>
      </c>
      <c r="D41" s="21" t="inlineStr">
        <is>
          <t>Express</t>
        </is>
      </c>
    </row>
    <row r="42" ht="18" customHeight="1">
      <c r="A42" s="22" t="inlineStr">
        <is>
          <t>HX061</t>
        </is>
      </c>
      <c r="B42" s="22" t="n">
        <v>60.1</v>
      </c>
      <c r="C42" s="22" t="n">
        <v>104</v>
      </c>
      <c r="D42" s="22" t="inlineStr">
        <is>
          <t>Express</t>
        </is>
      </c>
    </row>
    <row r="43" ht="18" customHeight="1">
      <c r="A43" s="21" t="inlineStr">
        <is>
          <t>HX073</t>
        </is>
      </c>
      <c r="B43" s="21" t="n">
        <v>60.3</v>
      </c>
      <c r="C43" s="21" t="n">
        <v>49</v>
      </c>
      <c r="D43" s="21" t="inlineStr">
        <is>
          <t>Standard</t>
        </is>
      </c>
    </row>
    <row r="44" ht="18" customHeight="1">
      <c r="A44" s="22" t="inlineStr">
        <is>
          <t>HX074</t>
        </is>
      </c>
      <c r="B44" s="22" t="n">
        <v>60.6</v>
      </c>
      <c r="C44" s="22" t="n">
        <v>94</v>
      </c>
      <c r="D44" s="22" t="inlineStr">
        <is>
          <t>Express</t>
        </is>
      </c>
    </row>
    <row r="45" ht="18" customHeight="1">
      <c r="A45" s="21" t="inlineStr">
        <is>
          <t>HX069</t>
        </is>
      </c>
      <c r="B45" s="21" t="n">
        <v>61.8</v>
      </c>
      <c r="C45" s="21" t="n">
        <v>61</v>
      </c>
      <c r="D45" s="21" t="inlineStr">
        <is>
          <t>Standard</t>
        </is>
      </c>
    </row>
    <row r="46" ht="18" customHeight="1">
      <c r="A46" s="22" t="inlineStr">
        <is>
          <t>HX019</t>
        </is>
      </c>
      <c r="B46" s="22" t="n">
        <v>62.1</v>
      </c>
      <c r="C46" s="22" t="n">
        <v>70</v>
      </c>
      <c r="D46" s="22" t="inlineStr">
        <is>
          <t>Fragile</t>
        </is>
      </c>
    </row>
    <row r="47" ht="18" customHeight="1">
      <c r="A47" s="21" t="inlineStr">
        <is>
          <t>HX034</t>
        </is>
      </c>
      <c r="B47" s="21" t="n">
        <v>62.1</v>
      </c>
      <c r="C47" s="21" t="n">
        <v>61</v>
      </c>
      <c r="D47" s="21" t="inlineStr">
        <is>
          <t>Fragile</t>
        </is>
      </c>
    </row>
    <row r="48" ht="18" customHeight="1">
      <c r="A48" s="22" t="inlineStr">
        <is>
          <t>HX052</t>
        </is>
      </c>
      <c r="B48" s="22" t="n">
        <v>63.3</v>
      </c>
      <c r="C48" s="22" t="n">
        <v>96</v>
      </c>
      <c r="D48" s="22" t="inlineStr">
        <is>
          <t>Standard</t>
        </is>
      </c>
    </row>
    <row r="49" ht="18" customHeight="1">
      <c r="A49" s="21" t="inlineStr">
        <is>
          <t>HX046</t>
        </is>
      </c>
      <c r="B49" s="21" t="n">
        <v>65</v>
      </c>
      <c r="C49" s="21" t="n">
        <v>59</v>
      </c>
      <c r="D49" s="21" t="inlineStr">
        <is>
          <t>Fragile</t>
        </is>
      </c>
    </row>
    <row r="50" ht="18" customHeight="1">
      <c r="A50" s="22" t="inlineStr">
        <is>
          <t>HX031</t>
        </is>
      </c>
      <c r="B50" s="22" t="n">
        <v>66.59999999999999</v>
      </c>
      <c r="C50" s="22" t="n">
        <v>58</v>
      </c>
      <c r="D50" s="22" t="inlineStr">
        <is>
          <t>Standard</t>
        </is>
      </c>
    </row>
    <row r="51" ht="18" customHeight="1">
      <c r="A51" s="21" t="inlineStr">
        <is>
          <t>HX021</t>
        </is>
      </c>
      <c r="B51" s="21" t="n">
        <v>66.90000000000001</v>
      </c>
      <c r="C51" s="21" t="n">
        <v>103</v>
      </c>
      <c r="D51" s="21" t="inlineStr">
        <is>
          <t>Standard</t>
        </is>
      </c>
    </row>
    <row r="52" ht="18" customHeight="1">
      <c r="A52" s="22" t="inlineStr">
        <is>
          <t>HX025</t>
        </is>
      </c>
      <c r="B52" s="22" t="n">
        <v>67.8</v>
      </c>
      <c r="C52" s="22" t="n">
        <v>80</v>
      </c>
      <c r="D52" s="22" t="inlineStr">
        <is>
          <t>Fragile</t>
        </is>
      </c>
    </row>
    <row r="53" ht="18" customHeight="1">
      <c r="A53" s="21" t="inlineStr">
        <is>
          <t>HX013</t>
        </is>
      </c>
      <c r="B53" s="21" t="n">
        <v>70.5</v>
      </c>
      <c r="C53" s="21" t="n">
        <v>111</v>
      </c>
      <c r="D53" s="21" t="inlineStr">
        <is>
          <t>Express</t>
        </is>
      </c>
    </row>
    <row r="54" ht="18" customHeight="1">
      <c r="A54" s="22" t="inlineStr">
        <is>
          <t>HX060</t>
        </is>
      </c>
      <c r="B54" s="22" t="n">
        <v>72.7</v>
      </c>
      <c r="C54" s="22" t="n">
        <v>57</v>
      </c>
      <c r="D54" s="22" t="inlineStr">
        <is>
          <t>Fragile</t>
        </is>
      </c>
    </row>
    <row r="55" ht="18" customHeight="1">
      <c r="A55" s="21" t="inlineStr">
        <is>
          <t>HX002</t>
        </is>
      </c>
      <c r="B55" s="21" t="n">
        <v>75.40000000000001</v>
      </c>
      <c r="C55" s="21" t="n">
        <v>130</v>
      </c>
      <c r="D55" s="21" t="inlineStr">
        <is>
          <t>Express</t>
        </is>
      </c>
    </row>
    <row r="56" ht="18" customHeight="1">
      <c r="A56" s="22" t="inlineStr">
        <is>
          <t>HX007</t>
        </is>
      </c>
      <c r="B56" s="22" t="n">
        <v>75.90000000000001</v>
      </c>
      <c r="C56" s="22" t="n">
        <v>117</v>
      </c>
      <c r="D56" s="22" t="inlineStr">
        <is>
          <t>Standard</t>
        </is>
      </c>
    </row>
    <row r="57" ht="18" customHeight="1">
      <c r="A57" s="21" t="inlineStr">
        <is>
          <t>HX051</t>
        </is>
      </c>
      <c r="B57" s="21" t="n">
        <v>76.5</v>
      </c>
      <c r="C57" s="21" t="n">
        <v>100</v>
      </c>
      <c r="D57" s="21" t="inlineStr">
        <is>
          <t>Fragile</t>
        </is>
      </c>
    </row>
    <row r="58" ht="18" customHeight="1">
      <c r="A58" s="22" t="inlineStr">
        <is>
          <t>HX017</t>
        </is>
      </c>
      <c r="B58" s="22" t="n">
        <v>80.5</v>
      </c>
      <c r="C58" s="22" t="n">
        <v>142</v>
      </c>
      <c r="D58" s="22" t="inlineStr">
        <is>
          <t>Express</t>
        </is>
      </c>
    </row>
    <row r="59" ht="18" customHeight="1">
      <c r="A59" s="21" t="inlineStr">
        <is>
          <t>HX008</t>
        </is>
      </c>
      <c r="B59" s="21" t="n">
        <v>80.7</v>
      </c>
      <c r="C59" s="21" t="n">
        <v>96</v>
      </c>
      <c r="D59" s="21" t="inlineStr">
        <is>
          <t>Standard</t>
        </is>
      </c>
    </row>
    <row r="60" ht="18" customHeight="1">
      <c r="A60" s="22" t="inlineStr">
        <is>
          <t>HX042</t>
        </is>
      </c>
      <c r="B60" s="22" t="n">
        <v>81.3</v>
      </c>
      <c r="C60" s="22" t="n">
        <v>81</v>
      </c>
      <c r="D60" s="22" t="inlineStr">
        <is>
          <t>Standard</t>
        </is>
      </c>
    </row>
    <row r="61" ht="18" customHeight="1">
      <c r="A61" s="21" t="inlineStr">
        <is>
          <t>HX066</t>
        </is>
      </c>
      <c r="B61" s="21" t="n">
        <v>82.3</v>
      </c>
      <c r="C61" s="21" t="n">
        <v>77</v>
      </c>
      <c r="D61" s="21" t="inlineStr">
        <is>
          <t>Standard</t>
        </is>
      </c>
    </row>
    <row r="62" ht="18" customHeight="1">
      <c r="A62" s="22" t="inlineStr">
        <is>
          <t>HX064</t>
        </is>
      </c>
      <c r="B62" s="22" t="n">
        <v>84.90000000000001</v>
      </c>
      <c r="C62" s="22" t="n">
        <v>96</v>
      </c>
      <c r="D62" s="22" t="inlineStr">
        <is>
          <t>Express</t>
        </is>
      </c>
    </row>
    <row r="63" ht="18" customHeight="1">
      <c r="A63" s="21" t="inlineStr">
        <is>
          <t>HX056</t>
        </is>
      </c>
      <c r="B63" s="21" t="n">
        <v>86.5</v>
      </c>
      <c r="C63" s="21" t="n">
        <v>73</v>
      </c>
      <c r="D63" s="21" t="inlineStr">
        <is>
          <t>Standard</t>
        </is>
      </c>
    </row>
    <row r="64" ht="18" customHeight="1">
      <c r="A64" s="22" t="inlineStr">
        <is>
          <t>HX045</t>
        </is>
      </c>
      <c r="B64" s="22" t="n">
        <v>86.59999999999999</v>
      </c>
      <c r="C64" s="22" t="n">
        <v>136</v>
      </c>
      <c r="D64" s="22" t="inlineStr">
        <is>
          <t>Standard</t>
        </is>
      </c>
    </row>
    <row r="65" ht="18" customHeight="1">
      <c r="A65" s="21" t="inlineStr">
        <is>
          <t>HX015</t>
        </is>
      </c>
      <c r="B65" s="21" t="n">
        <v>91.59999999999999</v>
      </c>
      <c r="C65" s="21" t="n">
        <v>111</v>
      </c>
      <c r="D65" s="21" t="inlineStr">
        <is>
          <t>Standard</t>
        </is>
      </c>
    </row>
    <row r="66" ht="18" customHeight="1">
      <c r="A66" s="22" t="inlineStr">
        <is>
          <t>HX040</t>
        </is>
      </c>
      <c r="B66" s="22" t="n">
        <v>103</v>
      </c>
      <c r="C66" s="22" t="n">
        <v>167</v>
      </c>
      <c r="D66" s="22" t="inlineStr">
        <is>
          <t>Standard</t>
        </is>
      </c>
    </row>
    <row r="67" ht="18" customHeight="1">
      <c r="A67" s="21" t="inlineStr">
        <is>
          <t>HX037</t>
        </is>
      </c>
      <c r="B67" s="21" t="n">
        <v>108.8</v>
      </c>
      <c r="C67" s="21" t="n">
        <v>80</v>
      </c>
      <c r="D67" s="21" t="inlineStr">
        <is>
          <t>Standard</t>
        </is>
      </c>
    </row>
    <row r="68" ht="18" customHeight="1">
      <c r="A68" s="22" t="inlineStr">
        <is>
          <t>HX054</t>
        </is>
      </c>
      <c r="B68" s="22" t="n">
        <v>110.9</v>
      </c>
      <c r="C68" s="22" t="n">
        <v>104</v>
      </c>
      <c r="D68" s="22" t="inlineStr">
        <is>
          <t>Standard</t>
        </is>
      </c>
    </row>
    <row r="69" ht="18" customHeight="1">
      <c r="A69" s="21" t="inlineStr">
        <is>
          <t>HX072</t>
        </is>
      </c>
      <c r="B69" s="21" t="n">
        <v>113.2</v>
      </c>
      <c r="C69" s="21" t="n">
        <v>141</v>
      </c>
      <c r="D69" s="21" t="inlineStr">
        <is>
          <t>Standard</t>
        </is>
      </c>
    </row>
    <row r="70" ht="18" customHeight="1">
      <c r="A70" s="22" t="inlineStr">
        <is>
          <t>HX029</t>
        </is>
      </c>
      <c r="B70" s="22" t="n">
        <v>114</v>
      </c>
      <c r="C70" s="22" t="n">
        <v>114</v>
      </c>
      <c r="D70" s="22" t="inlineStr">
        <is>
          <t>Express</t>
        </is>
      </c>
    </row>
    <row r="71" ht="18" customHeight="1">
      <c r="A71" s="21" t="inlineStr">
        <is>
          <t>HX050</t>
        </is>
      </c>
      <c r="B71" s="21" t="n">
        <v>117.4</v>
      </c>
      <c r="C71" s="21" t="n">
        <v>81</v>
      </c>
      <c r="D71" s="21" t="inlineStr">
        <is>
          <t>Express</t>
        </is>
      </c>
    </row>
    <row r="72" ht="18" customHeight="1">
      <c r="A72" s="22" t="inlineStr">
        <is>
          <t>HX059</t>
        </is>
      </c>
      <c r="B72" s="22" t="n">
        <v>120.5</v>
      </c>
      <c r="C72" s="22" t="n">
        <v>140</v>
      </c>
      <c r="D72" s="22" t="inlineStr">
        <is>
          <t>Standard</t>
        </is>
      </c>
    </row>
    <row r="73" ht="18" customHeight="1">
      <c r="A73" s="21" t="inlineStr">
        <is>
          <t>HX001</t>
        </is>
      </c>
      <c r="B73" s="21" t="n">
        <v>123.5</v>
      </c>
      <c r="C73" s="21" t="n">
        <v>84</v>
      </c>
      <c r="D73" s="21" t="inlineStr">
        <is>
          <t>Standard</t>
        </is>
      </c>
    </row>
    <row r="74" ht="18" customHeight="1">
      <c r="A74" s="22" t="inlineStr">
        <is>
          <t>HX068</t>
        </is>
      </c>
      <c r="B74" s="22" t="n">
        <v>124.5</v>
      </c>
      <c r="C74" s="22" t="n">
        <v>116</v>
      </c>
      <c r="D74" s="22" t="inlineStr">
        <is>
          <t>Standard</t>
        </is>
      </c>
    </row>
    <row r="75" ht="18" customHeight="1">
      <c r="A75" s="21" t="inlineStr">
        <is>
          <t>HX011</t>
        </is>
      </c>
      <c r="B75" s="21" t="n">
        <v>127.9</v>
      </c>
      <c r="C75" s="21" t="n">
        <v>120</v>
      </c>
      <c r="D75" s="21" t="inlineStr">
        <is>
          <t>Standard</t>
        </is>
      </c>
    </row>
    <row r="76" ht="18" customHeight="1">
      <c r="A76" s="22" t="inlineStr">
        <is>
          <t>HX024</t>
        </is>
      </c>
      <c r="B76" s="22" t="n">
        <v>133.9</v>
      </c>
      <c r="C76" s="22" t="n">
        <v>104</v>
      </c>
      <c r="D76" s="22" t="inlineStr">
        <is>
          <t>Express</t>
        </is>
      </c>
    </row>
    <row r="77" ht="18" customHeight="1">
      <c r="A77" s="21" t="inlineStr">
        <is>
          <t>HX006</t>
        </is>
      </c>
      <c r="B77" s="21" t="n">
        <v>134.8</v>
      </c>
      <c r="C77" s="21" t="n">
        <v>135</v>
      </c>
      <c r="D77" s="21" t="inlineStr">
        <is>
          <t>Express</t>
        </is>
      </c>
    </row>
    <row r="78" ht="18" customHeight="1">
      <c r="A78" s="22" t="inlineStr">
        <is>
          <t>HX033</t>
        </is>
      </c>
      <c r="B78" s="22" t="n">
        <v>139.8</v>
      </c>
      <c r="C78" s="22" t="n">
        <v>168</v>
      </c>
      <c r="D78" s="22" t="inlineStr">
        <is>
          <t>Standard</t>
        </is>
      </c>
    </row>
    <row r="79" ht="18" customHeight="1">
      <c r="A79" s="21" t="inlineStr">
        <is>
          <t>HX020</t>
        </is>
      </c>
      <c r="B79" s="21" t="n">
        <v>142.2</v>
      </c>
      <c r="C79" s="21" t="n">
        <v>111</v>
      </c>
      <c r="D79" s="21" t="inlineStr">
        <is>
          <t>Standard</t>
        </is>
      </c>
    </row>
    <row r="80" ht="12" customHeight="1"/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2026-05-06T05:13:19Z</dcterms:created>
  <dcterms:modified xmlns:dcterms="http://purl.org/dc/terms/" xmlns:xsi="http://www.w3.org/2001/XMLSchema-instance" xsi:type="dcterms:W3CDTF">2026-05-06T05:13:19Z</dcterms:modified>
</cp:coreProperties>
</file>