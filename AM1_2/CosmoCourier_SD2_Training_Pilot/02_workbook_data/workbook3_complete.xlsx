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PivotWork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Scatter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£#,##0"/>
    <numFmt numFmtId="166" formatCode="£#,##0.00"/>
    <numFmt numFmtId="167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0000FF"/>
      <sz val="10"/>
    </font>
    <font>
      <name val="Arial"/>
      <b val="1"/>
      <color rgb="001F3864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8"/>
    </font>
    <font>
      <name val="Arial"/>
      <b val="1"/>
      <color rgb="002F5496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942"/>
      </patternFill>
    </fill>
    <fill>
      <patternFill patternType="solid">
        <fgColor rgb="00D5E8F0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2" fillId="0" borderId="0" pivotButton="0" quotePrefix="0" xfId="0"/>
    <xf numFmtId="165" fontId="6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6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3" fillId="8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8" borderId="0" pivotButton="0" quotePrefix="0" xfId="0"/>
    <xf numFmtId="0" fontId="15" fillId="8" borderId="0" pivotButton="0" quotePrefix="0" xfId="0"/>
    <xf numFmtId="0" fontId="16" fillId="0" borderId="0" pivotButton="0" quotePrefix="0" xfId="0"/>
    <xf numFmtId="0" fontId="7" fillId="9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65" fontId="16" fillId="5" borderId="0" pivotButton="0" quotePrefix="0" xfId="0"/>
    <xf numFmtId="166" fontId="1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  <c r="I1" s="1" t="inlineStr">
        <is>
          <t>ReviewFlag</t>
        </is>
      </c>
    </row>
    <row r="2">
      <c r="A2" s="2" t="inlineStr">
        <is>
          <t>D001</t>
        </is>
      </c>
      <c r="B2" s="27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28" t="n">
        <v>10</v>
      </c>
      <c r="G2" s="4" t="n">
        <v>145</v>
      </c>
      <c r="H2" s="4" t="n">
        <v>3</v>
      </c>
      <c r="I2" s="4">
        <f>IF(H2&lt;4,"Review","Good")</f>
        <v/>
      </c>
    </row>
    <row r="3">
      <c r="A3" s="6" t="inlineStr">
        <is>
          <t>D043</t>
        </is>
      </c>
      <c r="B3" s="29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30" t="n">
        <v>32</v>
      </c>
      <c r="G3" s="8" t="n">
        <v>75</v>
      </c>
      <c r="H3" s="8" t="n">
        <v>4</v>
      </c>
      <c r="I3" s="8">
        <f>IF(H3&lt;4,"Review","Good")</f>
        <v/>
      </c>
    </row>
    <row r="4">
      <c r="A4" s="10" t="inlineStr">
        <is>
          <t>D019</t>
        </is>
      </c>
      <c r="B4" s="3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32" t="n">
        <v>11</v>
      </c>
      <c r="G4" s="12" t="n">
        <v>130</v>
      </c>
      <c r="H4" s="12" t="n">
        <v>4</v>
      </c>
      <c r="I4" s="12">
        <f>IF(H4&lt;4,"Review","Good")</f>
        <v/>
      </c>
    </row>
    <row r="5">
      <c r="A5" s="6" t="inlineStr">
        <is>
          <t>D037</t>
        </is>
      </c>
      <c r="B5" s="29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30" t="n">
        <v>11</v>
      </c>
      <c r="G5" s="8" t="n">
        <v>155</v>
      </c>
      <c r="H5" s="8" t="n">
        <v>3</v>
      </c>
      <c r="I5" s="8">
        <f>IF(H5&lt;4,"Review","Good")</f>
        <v/>
      </c>
    </row>
    <row r="6">
      <c r="A6" s="2" t="inlineStr">
        <is>
          <t>D007</t>
        </is>
      </c>
      <c r="B6" s="27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28" t="n">
        <v>26</v>
      </c>
      <c r="G6" s="4" t="n">
        <v>75</v>
      </c>
      <c r="H6" s="4" t="n">
        <v>4</v>
      </c>
      <c r="I6" s="4">
        <f>IF(H6&lt;4,"Review","Good")</f>
        <v/>
      </c>
    </row>
    <row r="7">
      <c r="A7" s="2" t="inlineStr">
        <is>
          <t>D013</t>
        </is>
      </c>
      <c r="B7" s="27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28" t="n">
        <v>42</v>
      </c>
      <c r="G7" s="4" t="n">
        <v>30</v>
      </c>
      <c r="H7" s="4" t="n">
        <v>5</v>
      </c>
      <c r="I7" s="4">
        <f>IF(H7&lt;4,"Review","Good")</f>
        <v/>
      </c>
    </row>
    <row r="8">
      <c r="A8" s="14" t="inlineStr">
        <is>
          <t>D055</t>
        </is>
      </c>
      <c r="B8" s="33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34" t="n">
        <v>9</v>
      </c>
      <c r="G8" s="16" t="n">
        <v>150</v>
      </c>
      <c r="H8" s="16" t="n">
        <v>2</v>
      </c>
      <c r="I8" s="16">
        <f>IF(H8&lt;4,"Review","Good")</f>
        <v/>
      </c>
    </row>
    <row r="9">
      <c r="A9" s="10" t="inlineStr">
        <is>
          <t>D025</t>
        </is>
      </c>
      <c r="B9" s="3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32" t="n">
        <v>32</v>
      </c>
      <c r="G9" s="12" t="n">
        <v>60</v>
      </c>
      <c r="H9" s="12" t="n">
        <v>5</v>
      </c>
      <c r="I9" s="12">
        <f>IF(H9&lt;4,"Review","Good")</f>
        <v/>
      </c>
    </row>
    <row r="10">
      <c r="A10" s="14" t="inlineStr">
        <is>
          <t>D061</t>
        </is>
      </c>
      <c r="B10" s="33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34" t="n">
        <v>25</v>
      </c>
      <c r="G10" s="16" t="n">
        <v>85</v>
      </c>
      <c r="H10" s="16" t="n">
        <v>2</v>
      </c>
      <c r="I10" s="16">
        <f>IF(H10&lt;4,"Review","Good")</f>
        <v/>
      </c>
    </row>
    <row r="11">
      <c r="A11" s="6" t="inlineStr">
        <is>
          <t>D049</t>
        </is>
      </c>
      <c r="B11" s="29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30" t="n">
        <v>50</v>
      </c>
      <c r="G11" s="8" t="n">
        <v>30</v>
      </c>
      <c r="H11" s="8" t="n">
        <v>4</v>
      </c>
      <c r="I11" s="8">
        <f>IF(H11&lt;4,"Review","Good")</f>
        <v/>
      </c>
    </row>
    <row r="12">
      <c r="A12" s="14" t="inlineStr">
        <is>
          <t>D067</t>
        </is>
      </c>
      <c r="B12" s="33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34" t="n">
        <v>40</v>
      </c>
      <c r="G12" s="16" t="n">
        <v>40</v>
      </c>
      <c r="H12" s="16" t="n">
        <v>3</v>
      </c>
      <c r="I12" s="16">
        <f>IF(H12&lt;4,"Review","Good")</f>
        <v/>
      </c>
    </row>
    <row r="13">
      <c r="A13" s="10" t="inlineStr">
        <is>
          <t>D031</t>
        </is>
      </c>
      <c r="B13" s="3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32" t="n">
        <v>52</v>
      </c>
      <c r="G13" s="12" t="n">
        <v>25</v>
      </c>
      <c r="H13" s="12" t="n">
        <v>5</v>
      </c>
      <c r="I13" s="12">
        <f>IF(H13&lt;4,"Review","Good")</f>
        <v/>
      </c>
    </row>
    <row r="14">
      <c r="A14" s="10" t="inlineStr">
        <is>
          <t>D026</t>
        </is>
      </c>
      <c r="B14" s="3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32" t="n">
        <v>39</v>
      </c>
      <c r="G14" s="12" t="n">
        <v>50</v>
      </c>
      <c r="H14" s="12" t="n">
        <v>5</v>
      </c>
      <c r="I14" s="12">
        <f>IF(H14&lt;4,"Review","Good")</f>
        <v/>
      </c>
    </row>
    <row r="15">
      <c r="A15" s="6" t="inlineStr">
        <is>
          <t>D044</t>
        </is>
      </c>
      <c r="B15" s="29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30" t="n">
        <v>38</v>
      </c>
      <c r="G15" s="8" t="n">
        <v>65</v>
      </c>
      <c r="H15" s="8" t="n">
        <v>3</v>
      </c>
      <c r="I15" s="8">
        <f>IF(H15&lt;4,"Review","Good")</f>
        <v/>
      </c>
    </row>
    <row r="16">
      <c r="A16" s="2" t="inlineStr">
        <is>
          <t>D014</t>
        </is>
      </c>
      <c r="B16" s="27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28" t="n">
        <v>50</v>
      </c>
      <c r="G16" s="4" t="n">
        <v>25</v>
      </c>
      <c r="H16" s="4" t="n">
        <v>4</v>
      </c>
      <c r="I16" s="4">
        <f>IF(H16&lt;4,"Review","Good")</f>
        <v/>
      </c>
    </row>
    <row r="17">
      <c r="A17" s="14" t="inlineStr">
        <is>
          <t>D056</t>
        </is>
      </c>
      <c r="B17" s="33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34" t="n">
        <v>11</v>
      </c>
      <c r="G17" s="16" t="n">
        <v>165</v>
      </c>
      <c r="H17" s="16" t="n">
        <v>2</v>
      </c>
      <c r="I17" s="16">
        <f>IF(H17&lt;4,"Review","Good")</f>
        <v/>
      </c>
    </row>
    <row r="18">
      <c r="A18" s="2" t="inlineStr">
        <is>
          <t>D008</t>
        </is>
      </c>
      <c r="B18" s="27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28" t="n">
        <v>32</v>
      </c>
      <c r="G18" s="4" t="n">
        <v>60</v>
      </c>
      <c r="H18" s="4" t="n">
        <v>4</v>
      </c>
      <c r="I18" s="4">
        <f>IF(H18&lt;4,"Review","Good")</f>
        <v/>
      </c>
    </row>
    <row r="19">
      <c r="A19" s="6" t="inlineStr">
        <is>
          <t>D050</t>
        </is>
      </c>
      <c r="B19" s="29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30" t="n">
        <v>58</v>
      </c>
      <c r="G19" s="8" t="n">
        <v>25</v>
      </c>
      <c r="H19" s="8" t="n">
        <v>5</v>
      </c>
      <c r="I19" s="8">
        <f>IF(H19&lt;4,"Review","Good")</f>
        <v/>
      </c>
    </row>
    <row r="20">
      <c r="A20" s="2" t="inlineStr">
        <is>
          <t>D002</t>
        </is>
      </c>
      <c r="B20" s="27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28" t="n">
        <v>12</v>
      </c>
      <c r="G20" s="4" t="n">
        <v>130</v>
      </c>
      <c r="H20" s="4" t="n">
        <v>4</v>
      </c>
      <c r="I20" s="4">
        <f>IF(H20&lt;4,"Review","Good")</f>
        <v/>
      </c>
    </row>
    <row r="21">
      <c r="A21" s="6" t="inlineStr">
        <is>
          <t>D038</t>
        </is>
      </c>
      <c r="B21" s="29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30" t="n">
        <v>35</v>
      </c>
      <c r="G21" s="8" t="n">
        <v>165</v>
      </c>
      <c r="H21" s="8" t="n">
        <v>2</v>
      </c>
      <c r="I21" s="8">
        <f>IF(H21&lt;4,"Review","Good")</f>
        <v/>
      </c>
    </row>
    <row r="22">
      <c r="A22" s="10" t="inlineStr">
        <is>
          <t>D032</t>
        </is>
      </c>
      <c r="B22" s="3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32" t="n">
        <v>60</v>
      </c>
      <c r="G22" s="12" t="n">
        <v>20</v>
      </c>
      <c r="H22" s="12" t="n">
        <v>5</v>
      </c>
      <c r="I22" s="12">
        <f>IF(H22&lt;4,"Review","Good")</f>
        <v/>
      </c>
    </row>
    <row r="23">
      <c r="A23" s="10" t="inlineStr">
        <is>
          <t>D020</t>
        </is>
      </c>
      <c r="B23" s="3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32" t="n">
        <v>14</v>
      </c>
      <c r="G23" s="12" t="n">
        <v>125</v>
      </c>
      <c r="H23" s="12" t="n">
        <v>5</v>
      </c>
      <c r="I23" s="12">
        <f>IF(H23&lt;4,"Review","Good")</f>
        <v/>
      </c>
    </row>
    <row r="24">
      <c r="A24" s="14" t="inlineStr">
        <is>
          <t>D068</t>
        </is>
      </c>
      <c r="B24" s="33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34" t="n">
        <v>46</v>
      </c>
      <c r="G24" s="16" t="n">
        <v>35</v>
      </c>
      <c r="H24" s="16" t="n">
        <v>2</v>
      </c>
      <c r="I24" s="16">
        <f>IF(H24&lt;4,"Review","Good")</f>
        <v/>
      </c>
    </row>
    <row r="25">
      <c r="A25" s="14" t="inlineStr">
        <is>
          <t>D062</t>
        </is>
      </c>
      <c r="B25" s="33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34" t="n">
        <v>30</v>
      </c>
      <c r="G25" s="16" t="n">
        <v>75</v>
      </c>
      <c r="H25" s="16" t="n">
        <v>3</v>
      </c>
      <c r="I25" s="16">
        <f>IF(H25&lt;4,"Review","Good")</f>
        <v/>
      </c>
    </row>
    <row r="26">
      <c r="A26" s="2" t="inlineStr">
        <is>
          <t>D003</t>
        </is>
      </c>
      <c r="B26" s="27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28" t="n">
        <v>15</v>
      </c>
      <c r="G26" s="4" t="n">
        <v>160</v>
      </c>
      <c r="H26" s="4" t="n">
        <v>3</v>
      </c>
      <c r="I26" s="4">
        <f>IF(H26&lt;4,"Review","Good")</f>
        <v/>
      </c>
    </row>
    <row r="27">
      <c r="A27" s="10" t="inlineStr">
        <is>
          <t>D021</t>
        </is>
      </c>
      <c r="B27" s="3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32" t="n">
        <v>15</v>
      </c>
      <c r="G27" s="12" t="n">
        <v>145</v>
      </c>
      <c r="H27" s="12" t="n">
        <v>4</v>
      </c>
      <c r="I27" s="12">
        <f>IF(H27&lt;4,"Review","Good")</f>
        <v/>
      </c>
    </row>
    <row r="28">
      <c r="A28" s="2" t="inlineStr">
        <is>
          <t>D009</t>
        </is>
      </c>
      <c r="B28" s="27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28" t="n">
        <v>38</v>
      </c>
      <c r="G28" s="4" t="n">
        <v>80</v>
      </c>
      <c r="H28" s="4" t="n">
        <v>3</v>
      </c>
      <c r="I28" s="4">
        <f>IF(H28&lt;4,"Review","Good")</f>
        <v/>
      </c>
    </row>
    <row r="29">
      <c r="A29" s="14" t="inlineStr">
        <is>
          <t>D069</t>
        </is>
      </c>
      <c r="B29" s="33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34" t="n">
        <v>53</v>
      </c>
      <c r="G29" s="16" t="n">
        <v>45</v>
      </c>
      <c r="H29" s="16" t="n">
        <v>3</v>
      </c>
      <c r="I29" s="16">
        <f>IF(H29&lt;4,"Review","Good")</f>
        <v/>
      </c>
    </row>
    <row r="30">
      <c r="A30" s="6" t="inlineStr">
        <is>
          <t>D039</t>
        </is>
      </c>
      <c r="B30" s="29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30" t="n">
        <v>15</v>
      </c>
      <c r="G30" s="8" t="n">
        <v>140</v>
      </c>
      <c r="H30" s="8" t="n">
        <v>4</v>
      </c>
      <c r="I30" s="8">
        <f>IF(H30&lt;4,"Review","Good")</f>
        <v/>
      </c>
    </row>
    <row r="31">
      <c r="A31" s="10" t="inlineStr">
        <is>
          <t>D033</t>
        </is>
      </c>
      <c r="B31" s="3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32" t="n">
        <v>69</v>
      </c>
      <c r="G31" s="12" t="n">
        <v>30</v>
      </c>
      <c r="H31" s="12" t="n">
        <v>5</v>
      </c>
      <c r="I31" s="12">
        <f>IF(H31&lt;4,"Review","Good")</f>
        <v/>
      </c>
    </row>
    <row r="32">
      <c r="A32" s="14" t="inlineStr">
        <is>
          <t>D063</t>
        </is>
      </c>
      <c r="B32" s="33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34" t="n">
        <v>35</v>
      </c>
      <c r="G32" s="16" t="n">
        <v>90</v>
      </c>
      <c r="H32" s="16" t="n">
        <v>2</v>
      </c>
      <c r="I32" s="16">
        <f>IF(H32&lt;4,"Review","Good")</f>
        <v/>
      </c>
    </row>
    <row r="33">
      <c r="A33" s="6" t="inlineStr">
        <is>
          <t>D045</t>
        </is>
      </c>
      <c r="B33" s="29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30" t="n">
        <v>44</v>
      </c>
      <c r="G33" s="8" t="n">
        <v>80</v>
      </c>
      <c r="H33" s="8" t="n">
        <v>4</v>
      </c>
      <c r="I33" s="8">
        <f>IF(H33&lt;4,"Review","Good")</f>
        <v/>
      </c>
    </row>
    <row r="34">
      <c r="A34" s="2" t="inlineStr">
        <is>
          <t>D015</t>
        </is>
      </c>
      <c r="B34" s="27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28" t="n">
        <v>59</v>
      </c>
      <c r="G34" s="4" t="n">
        <v>35</v>
      </c>
      <c r="H34" s="4" t="n">
        <v>5</v>
      </c>
      <c r="I34" s="4">
        <f>IF(H34&lt;4,"Review","Good")</f>
        <v/>
      </c>
    </row>
    <row r="35">
      <c r="A35" s="10" t="inlineStr">
        <is>
          <t>D027</t>
        </is>
      </c>
      <c r="B35" s="3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32" t="n">
        <v>46</v>
      </c>
      <c r="G35" s="12" t="n">
        <v>65</v>
      </c>
      <c r="H35" s="12" t="n">
        <v>4</v>
      </c>
      <c r="I35" s="12">
        <f>IF(H35&lt;4,"Review","Good")</f>
        <v/>
      </c>
    </row>
    <row r="36">
      <c r="A36" s="14" t="inlineStr">
        <is>
          <t>D057</t>
        </is>
      </c>
      <c r="B36" s="33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34" t="n">
        <v>13</v>
      </c>
      <c r="G36" s="16" t="n">
        <v>145</v>
      </c>
      <c r="H36" s="16" t="n">
        <v>3</v>
      </c>
      <c r="I36" s="16">
        <f>IF(H36&lt;4,"Review","Good")</f>
        <v/>
      </c>
    </row>
    <row r="37">
      <c r="A37" s="6" t="inlineStr">
        <is>
          <t>D051</t>
        </is>
      </c>
      <c r="B37" s="29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30" t="n">
        <v>66</v>
      </c>
      <c r="G37" s="8" t="n">
        <v>35</v>
      </c>
      <c r="H37" s="8" t="n">
        <v>4</v>
      </c>
      <c r="I37" s="8">
        <f>IF(H37&lt;4,"Review","Good")</f>
        <v/>
      </c>
    </row>
    <row r="38">
      <c r="A38" s="2" t="inlineStr">
        <is>
          <t>D016</t>
        </is>
      </c>
      <c r="B38" s="27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28" t="n">
        <v>65</v>
      </c>
      <c r="G38" s="4" t="n">
        <v>40</v>
      </c>
      <c r="H38" s="4" t="n">
        <v>4</v>
      </c>
      <c r="I38" s="4">
        <f>IF(H38&lt;4,"Review","Good")</f>
        <v/>
      </c>
    </row>
    <row r="39">
      <c r="A39" s="6" t="inlineStr">
        <is>
          <t>D046</t>
        </is>
      </c>
      <c r="B39" s="29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30" t="n">
        <v>35</v>
      </c>
      <c r="G39" s="8" t="n">
        <v>70</v>
      </c>
      <c r="H39" s="8" t="n">
        <v>3</v>
      </c>
      <c r="I39" s="8">
        <f>IF(H39&lt;4,"Review","Good")</f>
        <v/>
      </c>
    </row>
    <row r="40">
      <c r="A40" s="10" t="inlineStr">
        <is>
          <t>D028</t>
        </is>
      </c>
      <c r="B40" s="3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32" t="n">
        <v>34</v>
      </c>
      <c r="G40" s="12" t="n">
        <v>55</v>
      </c>
      <c r="H40" s="12" t="n">
        <v>5</v>
      </c>
      <c r="I40" s="12">
        <f>IF(H40&lt;4,"Review","Good")</f>
        <v/>
      </c>
    </row>
    <row r="41">
      <c r="A41" s="2" t="inlineStr">
        <is>
          <t>D010</t>
        </is>
      </c>
      <c r="B41" s="27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28" t="n">
        <v>29</v>
      </c>
      <c r="G41" s="4" t="n">
        <v>55</v>
      </c>
      <c r="H41" s="4" t="n">
        <v>4</v>
      </c>
      <c r="I41" s="4">
        <f>IF(H41&lt;4,"Review","Good")</f>
        <v/>
      </c>
    </row>
    <row r="42">
      <c r="A42" s="6" t="inlineStr">
        <is>
          <t>D052</t>
        </is>
      </c>
      <c r="B42" s="29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30" t="n">
        <v>52</v>
      </c>
      <c r="G42" s="8" t="n">
        <v>20</v>
      </c>
      <c r="H42" s="8" t="n">
        <v>5</v>
      </c>
      <c r="I42" s="8">
        <f>IF(H42&lt;4,"Review","Good")</f>
        <v/>
      </c>
    </row>
    <row r="43">
      <c r="A43" s="14" t="inlineStr">
        <is>
          <t>D058</t>
        </is>
      </c>
      <c r="B43" s="33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34" t="n">
        <v>11</v>
      </c>
      <c r="G43" s="16" t="n">
        <v>155</v>
      </c>
      <c r="H43" s="16" t="n">
        <v>2</v>
      </c>
      <c r="I43" s="16">
        <f>IF(H43&lt;4,"Review","Good")</f>
        <v/>
      </c>
    </row>
    <row r="44">
      <c r="A44" s="10" t="inlineStr">
        <is>
          <t>D022</t>
        </is>
      </c>
      <c r="B44" s="3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32" t="n">
        <v>17</v>
      </c>
      <c r="G44" s="12" t="n">
        <v>135</v>
      </c>
      <c r="H44" s="12" t="n">
        <v>5</v>
      </c>
      <c r="I44" s="12">
        <f>IF(H44&lt;4,"Review","Good")</f>
        <v/>
      </c>
    </row>
    <row r="45">
      <c r="A45" s="14" t="inlineStr">
        <is>
          <t>D070</t>
        </is>
      </c>
      <c r="B45" s="33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34" t="n">
        <v>59</v>
      </c>
      <c r="G45" s="16" t="n">
        <v>40</v>
      </c>
      <c r="H45" s="16" t="n">
        <v>2</v>
      </c>
      <c r="I45" s="16">
        <f>IF(H45&lt;4,"Review","Good")</f>
        <v/>
      </c>
    </row>
    <row r="46">
      <c r="A46" s="6" t="inlineStr">
        <is>
          <t>D040</t>
        </is>
      </c>
      <c r="B46" s="29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30" t="n">
        <v>12</v>
      </c>
      <c r="G46" s="8" t="n">
        <v>130</v>
      </c>
      <c r="H46" s="8" t="n">
        <v>3</v>
      </c>
      <c r="I46" s="8">
        <f>IF(H46&lt;4,"Review","Good")</f>
        <v/>
      </c>
    </row>
    <row r="47">
      <c r="A47" s="2" t="inlineStr">
        <is>
          <t>D004</t>
        </is>
      </c>
      <c r="B47" s="27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28" t="n">
        <v>12</v>
      </c>
      <c r="G47" s="4" t="n">
        <v>120</v>
      </c>
      <c r="H47" s="4" t="n">
        <v>4</v>
      </c>
      <c r="I47" s="4">
        <f>IF(H47&lt;4,"Review","Good")</f>
        <v/>
      </c>
    </row>
    <row r="48">
      <c r="A48" s="10" t="inlineStr">
        <is>
          <t>D034</t>
        </is>
      </c>
      <c r="B48" s="3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32" t="n">
        <v>80</v>
      </c>
      <c r="G48" s="12" t="n">
        <v>35</v>
      </c>
      <c r="H48" s="12" t="n">
        <v>4</v>
      </c>
      <c r="I48" s="12">
        <f>IF(H48&lt;4,"Review","Good")</f>
        <v/>
      </c>
    </row>
    <row r="49">
      <c r="A49" s="14" t="inlineStr">
        <is>
          <t>D064</t>
        </is>
      </c>
      <c r="B49" s="33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34" t="n">
        <v>27</v>
      </c>
      <c r="G49" s="16" t="n">
        <v>80</v>
      </c>
      <c r="H49" s="16" t="n">
        <v>3</v>
      </c>
      <c r="I49" s="16">
        <f>IF(H49&lt;4,"Review","Good")</f>
        <v/>
      </c>
    </row>
    <row r="50">
      <c r="A50" s="14" t="inlineStr">
        <is>
          <t>D059</t>
        </is>
      </c>
      <c r="B50" s="33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34" t="n">
        <v>14</v>
      </c>
      <c r="G50" s="16" t="n">
        <v>170</v>
      </c>
      <c r="H50" s="16" t="n">
        <v>3</v>
      </c>
      <c r="I50" s="16">
        <f>IF(H50&lt;4,"Review","Good")</f>
        <v/>
      </c>
    </row>
    <row r="51">
      <c r="A51" s="6" t="inlineStr">
        <is>
          <t>D053</t>
        </is>
      </c>
      <c r="B51" s="29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30" t="n">
        <v>71</v>
      </c>
      <c r="G51" s="8" t="n">
        <v>40</v>
      </c>
      <c r="H51" s="8" t="n">
        <v>4</v>
      </c>
      <c r="I51" s="8">
        <f>IF(H51&lt;4,"Review","Good")</f>
        <v/>
      </c>
    </row>
    <row r="52">
      <c r="A52" s="10" t="inlineStr">
        <is>
          <t>D023</t>
        </is>
      </c>
      <c r="B52" s="3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32" t="n">
        <v>14</v>
      </c>
      <c r="G52" s="12" t="n">
        <v>120</v>
      </c>
      <c r="H52" s="12" t="n">
        <v>4</v>
      </c>
      <c r="I52" s="12">
        <f>IF(H52&lt;4,"Review","Good")</f>
        <v/>
      </c>
    </row>
    <row r="53">
      <c r="A53" s="10" t="inlineStr">
        <is>
          <t>D035</t>
        </is>
      </c>
      <c r="B53" s="3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32" t="n">
        <v>63</v>
      </c>
      <c r="G53" s="12" t="n">
        <v>25</v>
      </c>
      <c r="H53" s="12" t="n">
        <v>5</v>
      </c>
      <c r="I53" s="12">
        <f>IF(H53&lt;4,"Review","Good")</f>
        <v/>
      </c>
    </row>
    <row r="54">
      <c r="A54" s="2" t="inlineStr">
        <is>
          <t>D005</t>
        </is>
      </c>
      <c r="B54" s="27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28" t="n">
        <v>16</v>
      </c>
      <c r="G54" s="4" t="n">
        <v>175</v>
      </c>
      <c r="H54" s="4" t="n">
        <v>3</v>
      </c>
      <c r="I54" s="4">
        <f>IF(H54&lt;4,"Review","Good")</f>
        <v/>
      </c>
    </row>
    <row r="55">
      <c r="A55" s="14" t="inlineStr">
        <is>
          <t>D065</t>
        </is>
      </c>
      <c r="B55" s="33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34" t="n">
        <v>39</v>
      </c>
      <c r="G55" s="16" t="n">
        <v>95</v>
      </c>
      <c r="H55" s="16" t="n">
        <v>2</v>
      </c>
      <c r="I55" s="16">
        <f>IF(H55&lt;4,"Review","Good")</f>
        <v/>
      </c>
    </row>
    <row r="56">
      <c r="A56" s="2" t="inlineStr">
        <is>
          <t>D011</t>
        </is>
      </c>
      <c r="B56" s="27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28" t="n">
        <v>36</v>
      </c>
      <c r="G56" s="4" t="n">
        <v>70</v>
      </c>
      <c r="H56" s="4" t="n">
        <v>3</v>
      </c>
      <c r="I56" s="4">
        <f>IF(H56&lt;4,"Review","Good")</f>
        <v/>
      </c>
    </row>
    <row r="57">
      <c r="A57" s="2" t="inlineStr">
        <is>
          <t>D017</t>
        </is>
      </c>
      <c r="B57" s="27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28" t="n">
        <v>49</v>
      </c>
      <c r="G57" s="4" t="n">
        <v>20</v>
      </c>
      <c r="H57" s="4" t="n">
        <v>5</v>
      </c>
      <c r="I57" s="4">
        <f>IF(H57&lt;4,"Review","Good")</f>
        <v/>
      </c>
    </row>
    <row r="58">
      <c r="A58" s="6" t="inlineStr">
        <is>
          <t>D047</t>
        </is>
      </c>
      <c r="B58" s="29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30" t="n">
        <v>41</v>
      </c>
      <c r="G58" s="8" t="n">
        <v>75</v>
      </c>
      <c r="H58" s="8" t="n">
        <v>4</v>
      </c>
      <c r="I58" s="8">
        <f>IF(H58&lt;4,"Review","Good")</f>
        <v/>
      </c>
    </row>
    <row r="59">
      <c r="A59" s="10" t="inlineStr">
        <is>
          <t>D029</t>
        </is>
      </c>
      <c r="B59" s="3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32" t="n">
        <v>51</v>
      </c>
      <c r="G59" s="12" t="n">
        <v>70</v>
      </c>
      <c r="H59" s="12" t="n">
        <v>4</v>
      </c>
      <c r="I59" s="12">
        <f>IF(H59&lt;4,"Review","Good")</f>
        <v/>
      </c>
    </row>
    <row r="60">
      <c r="A60" s="6" t="inlineStr">
        <is>
          <t>D041</t>
        </is>
      </c>
      <c r="B60" s="29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30" t="n">
        <v>15</v>
      </c>
      <c r="G60" s="8" t="n">
        <v>160</v>
      </c>
      <c r="H60" s="8" t="n">
        <v>4</v>
      </c>
      <c r="I60" s="8">
        <f>IF(H60&lt;4,"Review","Good")</f>
        <v/>
      </c>
    </row>
    <row r="61">
      <c r="A61" s="14" t="inlineStr">
        <is>
          <t>D071</t>
        </is>
      </c>
      <c r="B61" s="33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34" t="n">
        <v>48</v>
      </c>
      <c r="G61" s="16" t="n">
        <v>30</v>
      </c>
      <c r="H61" s="16" t="n">
        <v>3</v>
      </c>
      <c r="I61" s="16">
        <f>IF(H61&lt;4,"Review","Good")</f>
        <v/>
      </c>
    </row>
    <row r="62">
      <c r="A62" s="6" t="inlineStr">
        <is>
          <t>D054</t>
        </is>
      </c>
      <c r="B62" s="29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30" t="n">
        <v>79</v>
      </c>
      <c r="G62" s="8" t="n">
        <v>35</v>
      </c>
      <c r="H62" s="8" t="n">
        <v>4</v>
      </c>
      <c r="I62" s="8">
        <f>IF(H62&lt;4,"Review","Good")</f>
        <v/>
      </c>
    </row>
    <row r="63">
      <c r="A63" s="6" t="inlineStr">
        <is>
          <t>D042</t>
        </is>
      </c>
      <c r="B63" s="29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30" t="n">
        <v>14</v>
      </c>
      <c r="G63" s="8" t="n">
        <v>145</v>
      </c>
      <c r="H63" s="8" t="n">
        <v>3</v>
      </c>
      <c r="I63" s="8">
        <f>IF(H63&lt;4,"Review","Good")</f>
        <v/>
      </c>
    </row>
    <row r="64">
      <c r="A64" s="10" t="inlineStr">
        <is>
          <t>D024</t>
        </is>
      </c>
      <c r="B64" s="3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32" t="n">
        <v>19</v>
      </c>
      <c r="G64" s="12" t="n">
        <v>150</v>
      </c>
      <c r="H64" s="12" t="n">
        <v>5</v>
      </c>
      <c r="I64" s="12">
        <f>IF(H64&lt;4,"Review","Good")</f>
        <v/>
      </c>
    </row>
    <row r="65">
      <c r="A65" s="14" t="inlineStr">
        <is>
          <t>D072</t>
        </is>
      </c>
      <c r="B65" s="33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34" t="n">
        <v>66</v>
      </c>
      <c r="G65" s="16" t="n">
        <v>50</v>
      </c>
      <c r="H65" s="16" t="n">
        <v>2</v>
      </c>
      <c r="I65" s="16">
        <f>IF(H65&lt;4,"Review","Good")</f>
        <v/>
      </c>
    </row>
    <row r="66">
      <c r="A66" s="2" t="inlineStr">
        <is>
          <t>D012</t>
        </is>
      </c>
      <c r="B66" s="27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28" t="n">
        <v>42</v>
      </c>
      <c r="G66" s="4" t="n">
        <v>85</v>
      </c>
      <c r="H66" s="4" t="n">
        <v>4</v>
      </c>
      <c r="I66" s="4">
        <f>IF(H66&lt;4,"Review","Good")</f>
        <v/>
      </c>
    </row>
    <row r="67">
      <c r="A67" s="6" t="inlineStr">
        <is>
          <t>D048</t>
        </is>
      </c>
      <c r="B67" s="29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30" t="n">
        <v>48</v>
      </c>
      <c r="G67" s="8" t="n">
        <v>85</v>
      </c>
      <c r="H67" s="8" t="n">
        <v>3</v>
      </c>
      <c r="I67" s="8">
        <f>IF(H67&lt;4,"Review","Good")</f>
        <v/>
      </c>
    </row>
    <row r="68">
      <c r="A68" s="2" t="inlineStr">
        <is>
          <t>D018</t>
        </is>
      </c>
      <c r="B68" s="27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28" t="n">
        <v>72</v>
      </c>
      <c r="G68" s="4" t="n">
        <v>45</v>
      </c>
      <c r="H68" s="4" t="n">
        <v>4</v>
      </c>
      <c r="I68" s="4">
        <f>IF(H68&lt;4,"Review","Good")</f>
        <v/>
      </c>
    </row>
    <row r="69">
      <c r="A69" s="10" t="inlineStr">
        <is>
          <t>D030</t>
        </is>
      </c>
      <c r="B69" s="3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32" t="n">
        <v>41</v>
      </c>
      <c r="G69" s="12" t="n">
        <v>60</v>
      </c>
      <c r="H69" s="12" t="n">
        <v>5</v>
      </c>
      <c r="I69" s="12">
        <f>IF(H69&lt;4,"Review","Good")</f>
        <v/>
      </c>
    </row>
    <row r="70">
      <c r="A70" s="14" t="inlineStr">
        <is>
          <t>D060</t>
        </is>
      </c>
      <c r="B70" s="33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34" t="n">
        <v>12</v>
      </c>
      <c r="G70" s="16" t="n">
        <v>160</v>
      </c>
      <c r="H70" s="16" t="n">
        <v>2</v>
      </c>
      <c r="I70" s="16">
        <f>IF(H70&lt;4,"Review","Good")</f>
        <v/>
      </c>
    </row>
    <row r="71">
      <c r="A71" s="2" t="inlineStr">
        <is>
          <t>D006</t>
        </is>
      </c>
      <c r="B71" s="27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28" t="n">
        <v>13</v>
      </c>
      <c r="G71" s="4" t="n">
        <v>140</v>
      </c>
      <c r="H71" s="4" t="n">
        <v>4</v>
      </c>
      <c r="I71" s="4">
        <f>IF(H71&lt;4,"Review","Good")</f>
        <v/>
      </c>
    </row>
    <row r="72">
      <c r="A72" s="10" t="inlineStr">
        <is>
          <t>D036</t>
        </is>
      </c>
      <c r="B72" s="3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32" t="n">
        <v>92</v>
      </c>
      <c r="G72" s="12" t="n">
        <v>40</v>
      </c>
      <c r="H72" s="12" t="n">
        <v>5</v>
      </c>
      <c r="I72" s="12">
        <f>IF(H72&lt;4,"Review","Good")</f>
        <v/>
      </c>
    </row>
    <row r="73">
      <c r="A73" s="14" t="inlineStr">
        <is>
          <t>D066</t>
        </is>
      </c>
      <c r="B73" s="33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34" t="n">
        <v>32</v>
      </c>
      <c r="G73" s="16" t="n">
        <v>70</v>
      </c>
      <c r="H73" s="16" t="n">
        <v>3</v>
      </c>
      <c r="I73" s="16">
        <f>IF(H73&lt;4,"Review","Good")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2" customWidth="1" min="4" max="4"/>
    <col width="22" customWidth="1" min="5" max="5"/>
  </cols>
  <sheetData>
    <row r="1">
      <c r="A1" s="18" t="inlineStr">
        <is>
          <t>WORKBOOK 1 — ANALYSIS SHEET (COMPLETE)</t>
        </is>
      </c>
    </row>
    <row r="3">
      <c r="A3" s="19" t="inlineStr">
        <is>
          <t>PART 1: Summary Statistics</t>
        </is>
      </c>
    </row>
    <row r="5">
      <c r="A5" s="20" t="inlineStr">
        <is>
          <t>Total DeliveryFee (£)</t>
        </is>
      </c>
      <c r="B5" s="43">
        <f>SUM(Deliveries!F2:F73)</f>
        <v/>
      </c>
    </row>
    <row r="6">
      <c r="A6" s="20" t="inlineStr">
        <is>
          <t>Total Weight_kg</t>
        </is>
      </c>
      <c r="B6" s="36">
        <f>SUM(Deliveries!E2:E73)</f>
        <v/>
      </c>
    </row>
    <row r="7">
      <c r="A7" s="20" t="inlineStr">
        <is>
          <t>Number of Deliveries</t>
        </is>
      </c>
      <c r="B7" s="42">
        <f>COUNT(Deliveries!A2:A73)</f>
        <v/>
      </c>
    </row>
    <row r="8">
      <c r="A8" s="20" t="inlineStr">
        <is>
          <t>Average DeliveryFee (£)</t>
        </is>
      </c>
      <c r="B8" s="43">
        <f>AVERAGE(Deliveries!F2:F73)</f>
        <v/>
      </c>
    </row>
    <row r="9">
      <c r="A9" s="20" t="inlineStr">
        <is>
          <t>Average CustomerRating</t>
        </is>
      </c>
      <c r="B9" s="42">
        <f>AVERAGE(Deliveries!H2:H73)</f>
        <v/>
      </c>
    </row>
    <row r="10">
      <c r="A10" s="20" t="inlineStr">
        <is>
          <t>Lowest DeliveryFee (£)</t>
        </is>
      </c>
      <c r="B10" s="43">
        <f>MIN(Deliveries!F2:F73)</f>
        <v/>
      </c>
    </row>
    <row r="11">
      <c r="A11" s="20" t="inlineStr">
        <is>
          <t>Highest DeliveryFee (£)</t>
        </is>
      </c>
      <c r="B11" s="43">
        <f>MAX(Deliveries!F2:F73)</f>
        <v/>
      </c>
    </row>
    <row r="12">
      <c r="A12" s="20" t="inlineStr">
        <is>
          <t>Lightest Parcel (kg)</t>
        </is>
      </c>
      <c r="B12" s="36">
        <f>MIN(Deliveries!E2:E73)</f>
        <v/>
      </c>
    </row>
    <row r="13">
      <c r="A13" s="20" t="inlineStr">
        <is>
          <t>Heaviest Parcel (kg)</t>
        </is>
      </c>
      <c r="B13" s="36">
        <f>MAX(Deliveries!E2:E73)</f>
        <v/>
      </c>
    </row>
    <row r="15">
      <c r="A15" s="19" t="inlineStr">
        <is>
          <t>PART 2: Region Analysis</t>
        </is>
      </c>
    </row>
    <row r="17">
      <c r="A17" s="24" t="inlineStr">
        <is>
          <t>Region</t>
        </is>
      </c>
      <c r="B17" s="24" t="inlineStr">
        <is>
          <t>Count</t>
        </is>
      </c>
      <c r="C17" s="24" t="inlineStr">
        <is>
          <t>Total Fee £</t>
        </is>
      </c>
      <c r="D17" s="24" t="inlineStr">
        <is>
          <t>Avg Fee £</t>
        </is>
      </c>
    </row>
    <row r="18">
      <c r="A18" s="25" t="inlineStr">
        <is>
          <t>Nebula North</t>
        </is>
      </c>
      <c r="B18" s="42">
        <f>COUNTIF(Deliveries!C2:C73,"Nebula North")</f>
        <v/>
      </c>
      <c r="C18" s="41">
        <f>SUMIF(Deliveries!C2:C73,"Nebula North",Deliveries!F2:F73)</f>
        <v/>
      </c>
      <c r="D18" s="43">
        <f>AVERAGEIF(Deliveries!C2:C73,"Nebula North",Deliveries!F2:F73)</f>
        <v/>
      </c>
    </row>
    <row r="19">
      <c r="A19" s="25" t="inlineStr">
        <is>
          <t>Solar South</t>
        </is>
      </c>
      <c r="B19" s="42">
        <f>COUNTIF(Deliveries!C2:C73,"Solar South")</f>
        <v/>
      </c>
      <c r="C19" s="41">
        <f>SUMIF(Deliveries!C2:C73,"Solar South",Deliveries!F2:F73)</f>
        <v/>
      </c>
      <c r="D19" s="43">
        <f>AVERAGEIF(Deliveries!C2:C73,"Solar South",Deliveries!F2:F73)</f>
        <v/>
      </c>
    </row>
    <row r="20">
      <c r="A20" s="25" t="inlineStr">
        <is>
          <t>Asteroid East</t>
        </is>
      </c>
      <c r="B20" s="42">
        <f>COUNTIF(Deliveries!C2:C73,"Asteroid East")</f>
        <v/>
      </c>
      <c r="C20" s="41">
        <f>SUMIF(Deliveries!C2:C73,"Asteroid East",Deliveries!F2:F73)</f>
        <v/>
      </c>
      <c r="D20" s="43">
        <f>AVERAGEIF(Deliveries!C2:C73,"Asteroid East",Deliveries!F2:F73)</f>
        <v/>
      </c>
    </row>
    <row r="21">
      <c r="A21" s="25" t="inlineStr">
        <is>
          <t>Warp West</t>
        </is>
      </c>
      <c r="B21" s="42">
        <f>COUNTIF(Deliveries!C2:C73,"Warp West")</f>
        <v/>
      </c>
      <c r="C21" s="41">
        <f>SUMIF(Deliveries!C2:C73,"Warp West",Deliveries!F2:F73)</f>
        <v/>
      </c>
      <c r="D21" s="43">
        <f>AVERAGEIF(Deliveries!C2:C73,"Warp West",Deliveries!F2:F73)</f>
        <v/>
      </c>
    </row>
    <row r="23">
      <c r="A23" s="19" t="inlineStr">
        <is>
          <t>PART 3: Service Type Analysis</t>
        </is>
      </c>
    </row>
    <row r="25">
      <c r="A25" s="24" t="inlineStr">
        <is>
          <t>ServiceType</t>
        </is>
      </c>
      <c r="B25" s="24" t="inlineStr">
        <is>
          <t>Count</t>
        </is>
      </c>
      <c r="C25" s="24" t="inlineStr">
        <is>
          <t>Total Fee £</t>
        </is>
      </c>
      <c r="D25" s="24" t="inlineStr">
        <is>
          <t>Avg Fee £</t>
        </is>
      </c>
    </row>
    <row r="26">
      <c r="A26" s="25" t="inlineStr">
        <is>
          <t>Standard</t>
        </is>
      </c>
      <c r="B26" s="42">
        <f>COUNTIF(Deliveries!D2:D73,"Standard")</f>
        <v/>
      </c>
      <c r="C26" s="41">
        <f>SUMIF(Deliveries!D2:D73,"Standard",Deliveries!F2:F73)</f>
        <v/>
      </c>
      <c r="D26" s="43">
        <f>AVERAGEIF(Deliveries!D2:D73,"Standard",Deliveries!F2:F73)</f>
        <v/>
      </c>
    </row>
    <row r="27">
      <c r="A27" s="25" t="inlineStr">
        <is>
          <t>Express</t>
        </is>
      </c>
      <c r="B27" s="42">
        <f>COUNTIF(Deliveries!D2:D73,"Express")</f>
        <v/>
      </c>
      <c r="C27" s="41">
        <f>SUMIF(Deliveries!D2:D73,"Express",Deliveries!F2:F73)</f>
        <v/>
      </c>
      <c r="D27" s="43">
        <f>AVERAGEIF(Deliveries!D2:D73,"Express",Deliveries!F2:F73)</f>
        <v/>
      </c>
    </row>
    <row r="28">
      <c r="A28" s="25" t="inlineStr">
        <is>
          <t>Priority</t>
        </is>
      </c>
      <c r="B28" s="42">
        <f>COUNTIF(Deliveries!D2:D73,"Priority")</f>
        <v/>
      </c>
      <c r="C28" s="41">
        <f>SUMIF(Deliveries!D2:D73,"Priority",Deliveries!F2:F73)</f>
        <v/>
      </c>
      <c r="D28" s="43">
        <f>AVERAGEIF(Deliveries!D2:D73,"Priority",Deliveries!F2:F73)</f>
        <v/>
      </c>
    </row>
    <row r="30">
      <c r="A30" s="19" t="inlineStr">
        <is>
          <t>PART 4: Multi-Condition Analysis</t>
        </is>
      </c>
    </row>
    <row r="32">
      <c r="A32" s="24" t="inlineStr">
        <is>
          <t>Region</t>
        </is>
      </c>
      <c r="B32" s="24" t="inlineStr">
        <is>
          <t>ServiceType</t>
        </is>
      </c>
      <c r="C32" s="24" t="inlineStr">
        <is>
          <t>Count</t>
        </is>
      </c>
      <c r="D32" s="24" t="inlineStr">
        <is>
          <t>Total Fee £</t>
        </is>
      </c>
      <c r="E32" s="24" t="inlineStr">
        <is>
          <t>Avg Fee £</t>
        </is>
      </c>
    </row>
    <row r="33">
      <c r="A33" s="25" t="inlineStr">
        <is>
          <t>Solar South</t>
        </is>
      </c>
      <c r="B33" s="25" t="inlineStr">
        <is>
          <t>Priority</t>
        </is>
      </c>
      <c r="C33" s="42">
        <f>COUNTIFS(Deliveries!C2:C73,"Solar South",Deliveries!D2:D73,"Priority")</f>
        <v/>
      </c>
      <c r="D33" s="41">
        <f>SUMIFS(Deliveries!F2:F73,Deliveries!C2:C73,"Solar South",Deliveries!D2:D73,"Priority")</f>
        <v/>
      </c>
      <c r="E33" s="43">
        <f>AVERAGEIFS(Deliveries!F2:F73,Deliveries!C2:C73,"Solar South",Deliveries!D2:D73,"Priority")</f>
        <v/>
      </c>
    </row>
    <row r="34">
      <c r="A34" s="25" t="inlineStr">
        <is>
          <t>Warp West</t>
        </is>
      </c>
      <c r="B34" s="25" t="inlineStr">
        <is>
          <t>Standard</t>
        </is>
      </c>
      <c r="C34" s="42">
        <f>COUNTIFS(Deliveries!C2:C73,"Warp West",Deliveries!D2:D73,"Standard")</f>
        <v/>
      </c>
      <c r="D34" s="41">
        <f>SUMIFS(Deliveries!F2:F73,Deliveries!C2:C73,"Warp West",Deliveries!D2:D73,"Standard")</f>
        <v/>
      </c>
      <c r="E34" s="43">
        <f>AVERAGEIFS(Deliveries!F2:F73,Deliveries!C2:C73,"Warp West",Deliveries!D2:D73,"Standard")</f>
        <v/>
      </c>
    </row>
    <row r="35">
      <c r="A35" s="25" t="inlineStr">
        <is>
          <t>Nebula North</t>
        </is>
      </c>
      <c r="B35" s="25" t="inlineStr">
        <is>
          <t>Express</t>
        </is>
      </c>
      <c r="C35" s="42">
        <f>COUNTIFS(Deliveries!C2:C73,"Nebula North",Deliveries!D2:D73,"Express")</f>
        <v/>
      </c>
      <c r="D35" s="41">
        <f>SUMIFS(Deliveries!F2:F73,Deliveries!C2:C73,"Nebula North",Deliveries!D2:D73,"Express")</f>
        <v/>
      </c>
      <c r="E35" s="43">
        <f>AVERAGEIFS(Deliveries!F2:F73,Deliveries!C2:C73,"Nebula North",Deliveries!D2:D73,"Express")</f>
        <v/>
      </c>
    </row>
    <row r="36">
      <c r="A36" s="25" t="inlineStr">
        <is>
          <t>Asteroid East</t>
        </is>
      </c>
      <c r="B36" s="25" t="inlineStr">
        <is>
          <t>Priority</t>
        </is>
      </c>
      <c r="C36" s="42">
        <f>COUNTIFS(Deliveries!C2:C73,"Asteroid East",Deliveries!D2:D73,"Priority")</f>
        <v/>
      </c>
      <c r="D36" s="41">
        <f>SUMIFS(Deliveries!F2:F73,Deliveries!C2:C73,"Asteroid East",Deliveries!D2:D73,"Priority")</f>
        <v/>
      </c>
      <c r="E36" s="43">
        <f>AVERAGEIFS(Deliveries!F2:F73,Deliveries!C2:C73,"Asteroid East",Deliveries!D2:D73,"Priority")</f>
        <v/>
      </c>
    </row>
    <row r="38">
      <c r="A38" s="19" t="inlineStr">
        <is>
          <t>PART 5: Review Flag Count</t>
        </is>
      </c>
    </row>
    <row r="40">
      <c r="A40" s="20" t="inlineStr">
        <is>
          <t>Count of 'Good' (Rating ≥ 4)</t>
        </is>
      </c>
      <c r="B40" s="42">
        <f>COUNTIF(Deliveries!I2:I73,"Good")</f>
        <v/>
      </c>
    </row>
    <row r="41">
      <c r="A41" s="20" t="inlineStr">
        <is>
          <t>Count of 'Review' (Rating &lt; 4)</t>
        </is>
      </c>
      <c r="B41" s="42">
        <f>COUNTIF(Deliveries!I2:I73,"Review")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8" t="inlineStr">
        <is>
          <t>WORKBOOK 2 — PIVOT WORK (COMPLETE)</t>
        </is>
      </c>
    </row>
    <row r="3">
      <c r="A3" s="19" t="inlineStr">
        <is>
          <t>PIVOT SUMMARY: Region vs Total DeliveryFee</t>
        </is>
      </c>
    </row>
    <row r="4">
      <c r="A4" s="40" t="inlineStr">
        <is>
          <t>(This table mirrors your Pivot Table. Your Pivot Table should show the same totals.)</t>
        </is>
      </c>
    </row>
    <row r="6">
      <c r="A6" s="24" t="inlineStr">
        <is>
          <t>Region</t>
        </is>
      </c>
      <c r="B6" s="24" t="inlineStr">
        <is>
          <t>Total DeliveryFee £</t>
        </is>
      </c>
      <c r="C6" s="24" t="inlineStr">
        <is>
          <t>Count of Deliveries</t>
        </is>
      </c>
      <c r="D6" s="24" t="inlineStr">
        <is>
          <t>Avg DeliveryFee £</t>
        </is>
      </c>
    </row>
    <row r="7">
      <c r="A7" s="25" t="inlineStr">
        <is>
          <t>Nebula North</t>
        </is>
      </c>
      <c r="B7" s="41" t="n">
        <v>618</v>
      </c>
      <c r="C7" s="42" t="n">
        <v>18</v>
      </c>
      <c r="D7" s="43" t="n">
        <v>34.33</v>
      </c>
    </row>
    <row r="8">
      <c r="A8" s="25" t="inlineStr">
        <is>
          <t>Solar South</t>
        </is>
      </c>
      <c r="B8" s="41" t="n">
        <v>749</v>
      </c>
      <c r="C8" s="42" t="n">
        <v>18</v>
      </c>
      <c r="D8" s="43" t="n">
        <v>41.61</v>
      </c>
    </row>
    <row r="9">
      <c r="A9" s="25" t="inlineStr">
        <is>
          <t>Asteroid East</t>
        </is>
      </c>
      <c r="B9" s="41" t="n">
        <v>716</v>
      </c>
      <c r="C9" s="42" t="n">
        <v>18</v>
      </c>
      <c r="D9" s="43" t="n">
        <v>39.78</v>
      </c>
    </row>
    <row r="10">
      <c r="A10" s="25" t="inlineStr">
        <is>
          <t>Warp West</t>
        </is>
      </c>
      <c r="B10" s="41" t="n">
        <v>570</v>
      </c>
      <c r="C10" s="42" t="n">
        <v>18</v>
      </c>
      <c r="D10" s="43" t="n">
        <v>31.67</v>
      </c>
    </row>
    <row r="11">
      <c r="A11" s="20" t="inlineStr">
        <is>
          <t>Grand Total</t>
        </is>
      </c>
      <c r="B11" s="44" t="n">
        <v>2653</v>
      </c>
      <c r="C11" s="45" t="n">
        <v>72</v>
      </c>
      <c r="D11" s="46" t="n">
        <v>36.85</v>
      </c>
    </row>
    <row r="13">
      <c r="A13" s="19" t="inlineStr">
        <is>
          <t>PIVOT SUMMARY: ServiceType vs Total DeliveryFee</t>
        </is>
      </c>
    </row>
    <row r="15">
      <c r="A15" s="24" t="inlineStr">
        <is>
          <t>ServiceType</t>
        </is>
      </c>
      <c r="B15" s="24" t="inlineStr">
        <is>
          <t>Total DeliveryFee £</t>
        </is>
      </c>
      <c r="C15" s="24" t="inlineStr">
        <is>
          <t>Count</t>
        </is>
      </c>
      <c r="D15" s="24" t="inlineStr">
        <is>
          <t>Avg Fee £</t>
        </is>
      </c>
    </row>
    <row r="16">
      <c r="A16" s="25" t="inlineStr">
        <is>
          <t>Standard</t>
        </is>
      </c>
      <c r="B16" s="41" t="n">
        <v>340</v>
      </c>
      <c r="C16" s="42" t="n">
        <v>24</v>
      </c>
      <c r="D16" s="43" t="n">
        <v>14.17</v>
      </c>
    </row>
    <row r="17">
      <c r="A17" s="25" t="inlineStr">
        <is>
          <t>Express</t>
        </is>
      </c>
      <c r="B17" s="41" t="n">
        <v>872</v>
      </c>
      <c r="C17" s="42" t="n">
        <v>24</v>
      </c>
      <c r="D17" s="43" t="n">
        <v>36.33</v>
      </c>
    </row>
    <row r="18">
      <c r="A18" s="25" t="inlineStr">
        <is>
          <t>Priority</t>
        </is>
      </c>
      <c r="B18" s="41" t="n">
        <v>1441</v>
      </c>
      <c r="C18" s="42" t="n">
        <v>24</v>
      </c>
      <c r="D18" s="43" t="n">
        <v>60.04</v>
      </c>
    </row>
    <row r="19">
      <c r="A19" s="20" t="inlineStr">
        <is>
          <t>Grand Total</t>
        </is>
      </c>
      <c r="B19" s="44" t="n">
        <v>2653</v>
      </c>
      <c r="C19" s="45" t="n">
        <v>72</v>
      </c>
      <c r="D19" s="46" t="n">
        <v>36.85</v>
      </c>
    </row>
    <row r="21">
      <c r="A21" s="19" t="inlineStr">
        <is>
          <t>MONTHLY SUMMARY: DeliveryFee by Month</t>
        </is>
      </c>
    </row>
    <row r="22">
      <c r="A22" s="40" t="inlineStr">
        <is>
          <t>(Use your Timeline to filter this in your Pivot Table)</t>
        </is>
      </c>
    </row>
    <row r="24">
      <c r="A24" s="24" t="inlineStr">
        <is>
          <t>Month</t>
        </is>
      </c>
      <c r="B24" s="24" t="inlineStr">
        <is>
          <t>Total DeliveryFee £</t>
        </is>
      </c>
      <c r="C24" s="24" t="inlineStr">
        <is>
          <t>Count</t>
        </is>
      </c>
    </row>
    <row r="25">
      <c r="A25" s="25" t="inlineStr">
        <is>
          <t>Jan 2025</t>
        </is>
      </c>
      <c r="B25" s="41" t="n">
        <v>340</v>
      </c>
      <c r="C25" s="42" t="n">
        <v>12</v>
      </c>
    </row>
    <row r="26">
      <c r="A26" s="25" t="inlineStr">
        <is>
          <t>Feb 2025</t>
        </is>
      </c>
      <c r="B26" s="41" t="n">
        <v>425</v>
      </c>
      <c r="C26" s="42" t="n">
        <v>12</v>
      </c>
    </row>
    <row r="27">
      <c r="A27" s="25" t="inlineStr">
        <is>
          <t>Mar 2025</t>
        </is>
      </c>
      <c r="B27" s="41" t="n">
        <v>468</v>
      </c>
      <c r="C27" s="42" t="n">
        <v>12</v>
      </c>
    </row>
    <row r="28">
      <c r="A28" s="25" t="inlineStr">
        <is>
          <t>Apr 2025</t>
        </is>
      </c>
      <c r="B28" s="41" t="n">
        <v>433</v>
      </c>
      <c r="C28" s="42" t="n">
        <v>12</v>
      </c>
    </row>
    <row r="29">
      <c r="A29" s="25" t="inlineStr">
        <is>
          <t>May 2025</t>
        </is>
      </c>
      <c r="B29" s="41" t="n">
        <v>457</v>
      </c>
      <c r="C29" s="42" t="n">
        <v>12</v>
      </c>
    </row>
    <row r="30">
      <c r="A30" s="25" t="inlineStr">
        <is>
          <t>Jun 2025</t>
        </is>
      </c>
      <c r="B30" s="41" t="n">
        <v>530</v>
      </c>
      <c r="C30" s="42" t="n">
        <v>12</v>
      </c>
    </row>
    <row r="31">
      <c r="A31" s="20" t="inlineStr">
        <is>
          <t>Total</t>
        </is>
      </c>
      <c r="B31" s="44" t="n">
        <v>2653</v>
      </c>
      <c r="C31" s="45" t="n">
        <v>72</v>
      </c>
    </row>
    <row r="33">
      <c r="A33" s="47" t="inlineStr">
        <is>
          <t>KEY INSIGHT NOTE</t>
        </is>
      </c>
    </row>
    <row r="34">
      <c r="A34" s="25" t="inlineStr">
        <is>
          <t>Solar South generated the highest total delivery fees (£749).</t>
        </is>
      </c>
    </row>
    <row r="35">
      <c r="A35" s="25" t="inlineStr">
        <is>
          <t>Warp West generated the lowest total delivery fees (£570).</t>
        </is>
      </c>
    </row>
    <row r="36">
      <c r="A36" s="25" t="inlineStr">
        <is>
          <t>Priority deliveries accounted for £1,441 — more than Standard and Express combined.</t>
        </is>
      </c>
    </row>
    <row r="37">
      <c r="A37" s="25" t="inlineStr">
        <is>
          <t>June 2025 was the highest-revenue month (£530). January was the lowest (£340).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52" t="inlineStr">
        <is>
          <t>COSMO COURIER CO. — DELIVERY PERFORMANCE DASHBOARD</t>
        </is>
      </c>
    </row>
    <row r="3">
      <c r="A3" s="53" t="inlineStr">
        <is>
          <t>Jan to Jun 2025  |  All Regions  |  All Service Types</t>
        </is>
      </c>
    </row>
    <row r="5">
      <c r="A5" s="24" t="inlineStr">
        <is>
          <t>Total Deliveries</t>
        </is>
      </c>
      <c r="C5" s="54" t="inlineStr">
        <is>
          <t>Best Region: Solar South</t>
        </is>
      </c>
      <c r="E5" s="24" t="inlineStr">
        <is>
          <t>Overall Avg Fee</t>
        </is>
      </c>
    </row>
    <row r="6">
      <c r="A6" s="55" t="n">
        <v>72</v>
      </c>
      <c r="B6" s="51" t="n"/>
      <c r="C6" s="56" t="inlineStr">
        <is>
          <t>£749 total fees</t>
        </is>
      </c>
      <c r="E6" s="55" t="inlineStr">
        <is>
          <t>£36.85</t>
        </is>
      </c>
    </row>
    <row r="7">
      <c r="A7" t="inlineStr">
        <is>
          <t>Card 2 — Best Region + Total:</t>
        </is>
      </c>
      <c r="B7" s="51" t="n"/>
    </row>
    <row r="8">
      <c r="A8" s="50" t="inlineStr">
        <is>
          <t>Revenue by Region</t>
        </is>
      </c>
      <c r="B8" s="51" t="n"/>
    </row>
    <row r="9">
      <c r="A9" s="24" t="inlineStr">
        <is>
          <t>Region</t>
        </is>
      </c>
      <c r="B9" s="24" t="inlineStr">
        <is>
          <t>Total Fee</t>
        </is>
      </c>
      <c r="C9" s="24" t="inlineStr">
        <is>
          <t>Avg Fee</t>
        </is>
      </c>
    </row>
    <row r="10">
      <c r="A10" s="53" t="inlineStr">
        <is>
          <t>Nebula North</t>
        </is>
      </c>
      <c r="B10" s="57" t="n">
        <v>618</v>
      </c>
      <c r="C10" s="58" t="n">
        <v>34.33</v>
      </c>
    </row>
    <row r="11">
      <c r="A11" s="53" t="inlineStr">
        <is>
          <t>Solar South</t>
        </is>
      </c>
      <c r="B11" s="57" t="n">
        <v>749</v>
      </c>
      <c r="C11" s="58" t="n">
        <v>41.61</v>
      </c>
    </row>
    <row r="12">
      <c r="A12" s="53" t="inlineStr">
        <is>
          <t>Asteroid East</t>
        </is>
      </c>
      <c r="B12" s="57" t="n">
        <v>716</v>
      </c>
      <c r="C12" s="58" t="n">
        <v>39.78</v>
      </c>
    </row>
    <row r="13">
      <c r="A13" s="53" t="inlineStr">
        <is>
          <t>Warp West</t>
        </is>
      </c>
      <c r="B13" s="57" t="n">
        <v>570</v>
      </c>
      <c r="C13" s="58" t="n">
        <v>31.67</v>
      </c>
    </row>
    <row r="15">
      <c r="A15" s="50" t="inlineStr">
        <is>
          <t>Trendline: Weight_kg vs DeliveryFee</t>
        </is>
      </c>
    </row>
    <row r="16">
      <c r="A16" s="53" t="inlineStr">
        <is>
          <t>Equation:  y = 2.80x + 13.64</t>
        </is>
      </c>
    </row>
    <row r="17">
      <c r="A17" s="53" t="inlineStr">
        <is>
          <t>R-squared: 0.34 — Moderate. Weight explains 34% of fee variation.</t>
        </is>
      </c>
    </row>
    <row r="19">
      <c r="A19" s="47" t="inlineStr">
        <is>
          <t>INTERPRETATION</t>
        </is>
      </c>
    </row>
    <row r="20">
      <c r="A20" s="53" t="inlineStr">
        <is>
          <t>Solar South is the top revenue region (£749). Warp West is the lowest (£570) and has the worst customer ratings.</t>
        </is>
      </c>
    </row>
    <row r="21">
      <c r="A21" s="53" t="inlineStr">
        <is>
          <t>Priority service generates £1,441 — over half of all revenue (54%).</t>
        </is>
      </c>
    </row>
    <row r="22">
      <c r="A22" s="53" t="inlineStr">
        <is>
          <t>Revenue grew from Jan (£340) to Jun (£530), showing strong demand growth over the period.</t>
        </is>
      </c>
    </row>
    <row r="23">
      <c r="A23" s="53" t="inlineStr">
        <is>
          <t>Heavier parcels cost more to deliver (y=2.80x+13.64), but R²=0.34 means service type also matters significantly.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7" t="inlineStr">
        <is>
          <t>SCATTER CHART DATA — Weight_kg vs DeliveryFee</t>
        </is>
      </c>
    </row>
    <row r="2">
      <c r="A2" s="24" t="inlineStr">
        <is>
          <t>Weight_kg</t>
        </is>
      </c>
      <c r="B2" s="24" t="inlineStr">
        <is>
          <t>DeliveryFee</t>
        </is>
      </c>
    </row>
    <row r="3">
      <c r="A3" t="n">
        <v>2.5</v>
      </c>
      <c r="B3" t="n">
        <v>10</v>
      </c>
    </row>
    <row r="4">
      <c r="A4" t="n">
        <v>6</v>
      </c>
      <c r="B4" t="n">
        <v>32</v>
      </c>
    </row>
    <row r="5">
      <c r="A5" t="n">
        <v>2</v>
      </c>
      <c r="B5" t="n">
        <v>11</v>
      </c>
    </row>
    <row r="6">
      <c r="A6" t="n">
        <v>3</v>
      </c>
      <c r="B6" t="n">
        <v>11</v>
      </c>
    </row>
    <row r="7">
      <c r="A7" t="n">
        <v>4</v>
      </c>
      <c r="B7" t="n">
        <v>26</v>
      </c>
    </row>
    <row r="8">
      <c r="A8" t="n">
        <v>3</v>
      </c>
      <c r="B8" t="n">
        <v>42</v>
      </c>
    </row>
    <row r="9">
      <c r="A9" t="n">
        <v>2</v>
      </c>
      <c r="B9" t="n">
        <v>9</v>
      </c>
    </row>
    <row r="10">
      <c r="A10" t="n">
        <v>5</v>
      </c>
      <c r="B10" t="n">
        <v>32</v>
      </c>
    </row>
    <row r="11">
      <c r="A11" t="n">
        <v>5</v>
      </c>
      <c r="B11" t="n">
        <v>25</v>
      </c>
    </row>
    <row r="12">
      <c r="A12" t="n">
        <v>5</v>
      </c>
      <c r="B12" t="n">
        <v>50</v>
      </c>
    </row>
    <row r="13">
      <c r="A13" t="n">
        <v>4</v>
      </c>
      <c r="B13" t="n">
        <v>40</v>
      </c>
    </row>
    <row r="14">
      <c r="A14" t="n">
        <v>4</v>
      </c>
      <c r="B14" t="n">
        <v>52</v>
      </c>
    </row>
    <row r="15">
      <c r="A15" t="n">
        <v>8</v>
      </c>
      <c r="B15" t="n">
        <v>39</v>
      </c>
    </row>
    <row r="16">
      <c r="A16" t="n">
        <v>9</v>
      </c>
      <c r="B16" t="n">
        <v>38</v>
      </c>
    </row>
    <row r="17">
      <c r="A17" t="n">
        <v>6</v>
      </c>
      <c r="B17" t="n">
        <v>50</v>
      </c>
    </row>
    <row r="18">
      <c r="A18" t="n">
        <v>4.5</v>
      </c>
      <c r="B18" t="n">
        <v>11</v>
      </c>
    </row>
    <row r="19">
      <c r="A19" t="n">
        <v>7</v>
      </c>
      <c r="B19" t="n">
        <v>32</v>
      </c>
    </row>
    <row r="20">
      <c r="A20" t="n">
        <v>8</v>
      </c>
      <c r="B20" t="n">
        <v>58</v>
      </c>
    </row>
    <row r="21">
      <c r="A21" t="n">
        <v>5</v>
      </c>
      <c r="B21" t="n">
        <v>12</v>
      </c>
    </row>
    <row r="22">
      <c r="A22" t="n">
        <v>28.5</v>
      </c>
      <c r="B22" t="n">
        <v>35</v>
      </c>
    </row>
    <row r="23">
      <c r="A23" t="n">
        <v>7</v>
      </c>
      <c r="B23" t="n">
        <v>60</v>
      </c>
    </row>
    <row r="24">
      <c r="A24" t="n">
        <v>4.5</v>
      </c>
      <c r="B24" t="n">
        <v>14</v>
      </c>
    </row>
    <row r="25">
      <c r="A25" t="n">
        <v>7</v>
      </c>
      <c r="B25" t="n">
        <v>46</v>
      </c>
    </row>
    <row r="26">
      <c r="A26" t="n">
        <v>8</v>
      </c>
      <c r="B26" t="n">
        <v>30</v>
      </c>
    </row>
    <row r="27">
      <c r="A27" t="n">
        <v>7.5</v>
      </c>
      <c r="B27" t="n">
        <v>15</v>
      </c>
    </row>
    <row r="28">
      <c r="A28" t="n">
        <v>6</v>
      </c>
      <c r="B28" t="n">
        <v>15</v>
      </c>
    </row>
    <row r="29">
      <c r="A29" t="n">
        <v>10</v>
      </c>
      <c r="B29" t="n">
        <v>38</v>
      </c>
    </row>
    <row r="30">
      <c r="A30" t="n">
        <v>10</v>
      </c>
      <c r="B30" t="n">
        <v>53</v>
      </c>
    </row>
    <row r="31">
      <c r="A31" t="n">
        <v>6.5</v>
      </c>
      <c r="B31" t="n">
        <v>15</v>
      </c>
    </row>
    <row r="32">
      <c r="A32" t="n">
        <v>10</v>
      </c>
      <c r="B32" t="n">
        <v>69</v>
      </c>
    </row>
    <row r="33">
      <c r="A33" t="n">
        <v>11</v>
      </c>
      <c r="B33" t="n">
        <v>35</v>
      </c>
    </row>
    <row r="34">
      <c r="A34" t="n">
        <v>12</v>
      </c>
      <c r="B34" t="n">
        <v>44</v>
      </c>
    </row>
    <row r="35">
      <c r="A35" t="n">
        <v>9.5</v>
      </c>
      <c r="B35" t="n">
        <v>59</v>
      </c>
    </row>
    <row r="36">
      <c r="A36" t="n">
        <v>11</v>
      </c>
      <c r="B36" t="n">
        <v>46</v>
      </c>
    </row>
    <row r="37">
      <c r="A37" t="n">
        <v>7</v>
      </c>
      <c r="B37" t="n">
        <v>13</v>
      </c>
    </row>
    <row r="38">
      <c r="A38" t="n">
        <v>11</v>
      </c>
      <c r="B38" t="n">
        <v>66</v>
      </c>
    </row>
    <row r="39">
      <c r="A39" t="n">
        <v>12</v>
      </c>
      <c r="B39" t="n">
        <v>65</v>
      </c>
    </row>
    <row r="40">
      <c r="A40" t="n">
        <v>7.5</v>
      </c>
      <c r="B40" t="n">
        <v>35</v>
      </c>
    </row>
    <row r="41">
      <c r="A41" t="n">
        <v>6</v>
      </c>
      <c r="B41" t="n">
        <v>34</v>
      </c>
    </row>
    <row r="42">
      <c r="A42" t="n">
        <v>5.5</v>
      </c>
      <c r="B42" t="n">
        <v>29</v>
      </c>
    </row>
    <row r="43">
      <c r="A43" t="n">
        <v>6</v>
      </c>
      <c r="B43" t="n">
        <v>52</v>
      </c>
    </row>
    <row r="44">
      <c r="A44" t="n">
        <v>5</v>
      </c>
      <c r="B44" t="n">
        <v>11</v>
      </c>
    </row>
    <row r="45">
      <c r="A45" t="n">
        <v>8</v>
      </c>
      <c r="B45" t="n">
        <v>17</v>
      </c>
    </row>
    <row r="46">
      <c r="A46" t="n">
        <v>13</v>
      </c>
      <c r="B46" t="n">
        <v>59</v>
      </c>
    </row>
    <row r="47">
      <c r="A47" t="n">
        <v>4</v>
      </c>
      <c r="B47" t="n">
        <v>12</v>
      </c>
    </row>
    <row r="48">
      <c r="A48" t="n">
        <v>4</v>
      </c>
      <c r="B48" t="n">
        <v>12</v>
      </c>
    </row>
    <row r="49">
      <c r="A49" t="n">
        <v>14</v>
      </c>
      <c r="B49" t="n">
        <v>80</v>
      </c>
    </row>
    <row r="50">
      <c r="A50" t="n">
        <v>6.5</v>
      </c>
      <c r="B50" t="n">
        <v>27</v>
      </c>
    </row>
    <row r="51">
      <c r="A51" t="n">
        <v>9</v>
      </c>
      <c r="B51" t="n">
        <v>14</v>
      </c>
    </row>
    <row r="52">
      <c r="A52" t="n">
        <v>13</v>
      </c>
      <c r="B52" t="n">
        <v>71</v>
      </c>
    </row>
    <row r="53">
      <c r="A53" t="n">
        <v>5</v>
      </c>
      <c r="B53" t="n">
        <v>14</v>
      </c>
    </row>
    <row r="54">
      <c r="A54" t="n">
        <v>8</v>
      </c>
      <c r="B54" t="n">
        <v>63</v>
      </c>
    </row>
    <row r="55">
      <c r="A55" t="n">
        <v>8.5</v>
      </c>
      <c r="B55" t="n">
        <v>16</v>
      </c>
    </row>
    <row r="56">
      <c r="A56" t="n">
        <v>13</v>
      </c>
      <c r="B56" t="n">
        <v>39</v>
      </c>
    </row>
    <row r="57">
      <c r="A57" t="n">
        <v>9</v>
      </c>
      <c r="B57" t="n">
        <v>36</v>
      </c>
    </row>
    <row r="58">
      <c r="A58" t="n">
        <v>5.5</v>
      </c>
      <c r="B58" t="n">
        <v>49</v>
      </c>
    </row>
    <row r="59">
      <c r="A59" t="n">
        <v>10.5</v>
      </c>
      <c r="B59" t="n">
        <v>41</v>
      </c>
    </row>
    <row r="60">
      <c r="A60" t="n">
        <v>13</v>
      </c>
      <c r="B60" t="n">
        <v>51</v>
      </c>
    </row>
    <row r="61">
      <c r="A61" t="n">
        <v>7</v>
      </c>
      <c r="B61" t="n">
        <v>15</v>
      </c>
    </row>
    <row r="62">
      <c r="A62" t="n">
        <v>8</v>
      </c>
      <c r="B62" t="n">
        <v>48</v>
      </c>
    </row>
    <row r="63">
      <c r="A63" t="n">
        <v>16</v>
      </c>
      <c r="B63" t="n">
        <v>79</v>
      </c>
    </row>
    <row r="64">
      <c r="A64" t="n">
        <v>5.5</v>
      </c>
      <c r="B64" t="n">
        <v>14</v>
      </c>
    </row>
    <row r="65">
      <c r="A65" t="n">
        <v>9.5</v>
      </c>
      <c r="B65" t="n">
        <v>19</v>
      </c>
    </row>
    <row r="66">
      <c r="A66" t="n">
        <v>16</v>
      </c>
      <c r="B66" t="n">
        <v>66</v>
      </c>
    </row>
    <row r="67">
      <c r="A67" t="n">
        <v>12</v>
      </c>
      <c r="B67" t="n">
        <v>42</v>
      </c>
    </row>
    <row r="68">
      <c r="A68" t="n">
        <v>14</v>
      </c>
      <c r="B68" t="n">
        <v>48</v>
      </c>
    </row>
    <row r="69">
      <c r="A69" t="n">
        <v>15</v>
      </c>
      <c r="B69" t="n">
        <v>72</v>
      </c>
    </row>
    <row r="70">
      <c r="A70" t="n">
        <v>9</v>
      </c>
      <c r="B70" t="n">
        <v>41</v>
      </c>
    </row>
    <row r="71">
      <c r="A71" t="n">
        <v>6.5</v>
      </c>
      <c r="B71" t="n">
        <v>12</v>
      </c>
    </row>
    <row r="72">
      <c r="A72" t="n">
        <v>6</v>
      </c>
      <c r="B72" t="n">
        <v>13</v>
      </c>
    </row>
    <row r="73">
      <c r="A73" t="n">
        <v>18</v>
      </c>
      <c r="B73" t="n">
        <v>92</v>
      </c>
    </row>
    <row r="74">
      <c r="A74" t="n">
        <v>9</v>
      </c>
      <c r="B7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2026-05-07T05:14:15Z</dcterms:created>
  <dcterms:modified xmlns:dcterms="http://purl.org/dc/terms/" xmlns:xsi="http://www.w3.org/2001/XMLSchema-instance" xsi:type="dcterms:W3CDTF">2026-05-07T05:14:48Z</dcterms:modified>
</cp:coreProperties>
</file>