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o_Data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375623"/>
      <sz val="10"/>
    </font>
    <font>
      <name val="Arial"/>
      <b val="1"/>
      <color rgb="00CC0000"/>
      <sz val="10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indent="1"/>
    </xf>
    <xf numFmtId="0" fontId="1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16" customWidth="1" min="5" max="5"/>
    <col width="18" customWidth="1" min="6" max="6"/>
    <col width="17" customWidth="1" min="7" max="7"/>
    <col width="10" customWidth="1" min="8" max="8"/>
    <col width="12" customWidth="1" min="9" max="9"/>
    <col width="14" customWidth="1" min="10" max="10"/>
  </cols>
  <sheetData>
    <row r="1" ht="30" customHeight="1">
      <c r="A1" s="1" t="inlineStr">
        <is>
          <t>DeliveryID</t>
        </is>
      </c>
      <c r="B1" s="1" t="inlineStr">
        <is>
          <t>DeliveryDate</t>
        </is>
      </c>
      <c r="C1" s="1" t="inlineStr">
        <is>
          <t>Sector</t>
        </is>
      </c>
      <c r="D1" s="1" t="inlineStr">
        <is>
          <t>DeliveryType</t>
        </is>
      </c>
      <c r="E1" s="1" t="inlineStr">
        <is>
          <t>CargoWeight_kg</t>
        </is>
      </c>
      <c r="F1" s="1" t="inlineStr">
        <is>
          <t>DeliveryTime_hrs</t>
        </is>
      </c>
      <c r="G1" s="1" t="inlineStr">
        <is>
          <t>Revenue_credits</t>
        </is>
      </c>
      <c r="H1" s="1" t="inlineStr">
        <is>
          <t>StaffID</t>
        </is>
      </c>
      <c r="I1" s="1" t="inlineStr">
        <is>
          <t>Status</t>
        </is>
      </c>
      <c r="J1" s="1" t="inlineStr">
        <is>
          <t>RevenueFlag</t>
        </is>
      </c>
    </row>
    <row r="2">
      <c r="A2" s="2" t="inlineStr">
        <is>
          <t>MD-001</t>
        </is>
      </c>
      <c r="B2" s="3" t="inlineStr">
        <is>
          <t>2025-01-08</t>
        </is>
      </c>
      <c r="C2" s="4" t="inlineStr">
        <is>
          <t>Alpha</t>
        </is>
      </c>
      <c r="D2" s="4" t="inlineStr">
        <is>
          <t>Express</t>
        </is>
      </c>
      <c r="E2" s="4" t="n">
        <v>320</v>
      </c>
      <c r="F2" s="4" t="n">
        <v>6</v>
      </c>
      <c r="G2" s="4" t="n">
        <v>2450</v>
      </c>
      <c r="H2" s="4" t="inlineStr">
        <is>
          <t>PV01</t>
        </is>
      </c>
      <c r="I2" s="4" t="inlineStr">
        <is>
          <t>Delivered</t>
        </is>
      </c>
      <c r="J2" s="5" t="inlineStr">
        <is>
          <t>OK</t>
        </is>
      </c>
    </row>
    <row r="3">
      <c r="A3" s="6" t="inlineStr">
        <is>
          <t>MD-002</t>
        </is>
      </c>
      <c r="B3" s="7" t="inlineStr">
        <is>
          <t>2025-01-15</t>
        </is>
      </c>
      <c r="C3" s="8" t="inlineStr">
        <is>
          <t>Alpha</t>
        </is>
      </c>
      <c r="D3" s="8" t="inlineStr">
        <is>
          <t>Express</t>
        </is>
      </c>
      <c r="E3" s="8" t="n">
        <v>280</v>
      </c>
      <c r="F3" s="8" t="n">
        <v>5</v>
      </c>
      <c r="G3" s="8" t="n">
        <v>2150</v>
      </c>
      <c r="H3" s="8" t="inlineStr">
        <is>
          <t>PV01</t>
        </is>
      </c>
      <c r="I3" s="8" t="inlineStr">
        <is>
          <t>Delivered</t>
        </is>
      </c>
      <c r="J3" s="5" t="inlineStr">
        <is>
          <t>OK</t>
        </is>
      </c>
    </row>
    <row r="4">
      <c r="A4" s="2" t="inlineStr">
        <is>
          <t>MD-003</t>
        </is>
      </c>
      <c r="B4" s="3" t="inlineStr">
        <is>
          <t>2025-02-03</t>
        </is>
      </c>
      <c r="C4" s="4" t="inlineStr">
        <is>
          <t>Alpha</t>
        </is>
      </c>
      <c r="D4" s="4" t="inlineStr">
        <is>
          <t>Express</t>
        </is>
      </c>
      <c r="E4" s="4" t="n">
        <v>410</v>
      </c>
      <c r="F4" s="4" t="n">
        <v>8</v>
      </c>
      <c r="G4" s="4" t="n">
        <v>2800</v>
      </c>
      <c r="H4" s="4" t="inlineStr">
        <is>
          <t>PV01</t>
        </is>
      </c>
      <c r="I4" s="4" t="inlineStr">
        <is>
          <t>Delivered</t>
        </is>
      </c>
      <c r="J4" s="9" t="inlineStr">
        <is>
          <t>Review</t>
        </is>
      </c>
    </row>
    <row r="5">
      <c r="A5" s="6" t="inlineStr">
        <is>
          <t>MD-004</t>
        </is>
      </c>
      <c r="B5" s="7" t="inlineStr">
        <is>
          <t>2025-02-19</t>
        </is>
      </c>
      <c r="C5" s="8" t="inlineStr">
        <is>
          <t>Alpha</t>
        </is>
      </c>
      <c r="D5" s="8" t="inlineStr">
        <is>
          <t>Standard</t>
        </is>
      </c>
      <c r="E5" s="8" t="n">
        <v>250</v>
      </c>
      <c r="F5" s="8" t="n">
        <v>12</v>
      </c>
      <c r="G5" s="8" t="n">
        <v>1650</v>
      </c>
      <c r="H5" s="8" t="inlineStr">
        <is>
          <t>RO02</t>
        </is>
      </c>
      <c r="I5" s="8" t="inlineStr">
        <is>
          <t>Delivered</t>
        </is>
      </c>
      <c r="J5" s="5" t="inlineStr">
        <is>
          <t>OK</t>
        </is>
      </c>
    </row>
    <row r="6">
      <c r="A6" s="2" t="inlineStr">
        <is>
          <t>MD-005</t>
        </is>
      </c>
      <c r="B6" s="3" t="inlineStr">
        <is>
          <t>2025-03-05</t>
        </is>
      </c>
      <c r="C6" s="4" t="inlineStr">
        <is>
          <t>Alpha</t>
        </is>
      </c>
      <c r="D6" s="4" t="inlineStr">
        <is>
          <t>Express</t>
        </is>
      </c>
      <c r="E6" s="4" t="n">
        <v>350</v>
      </c>
      <c r="F6" s="4" t="n">
        <v>7</v>
      </c>
      <c r="G6" s="4" t="n">
        <v>2600</v>
      </c>
      <c r="H6" s="4" t="inlineStr">
        <is>
          <t>PV01</t>
        </is>
      </c>
      <c r="I6" s="4" t="inlineStr">
        <is>
          <t>Delivered</t>
        </is>
      </c>
      <c r="J6" s="9" t="inlineStr">
        <is>
          <t>Review</t>
        </is>
      </c>
    </row>
    <row r="7">
      <c r="A7" s="6" t="inlineStr">
        <is>
          <t>MD-006</t>
        </is>
      </c>
      <c r="B7" s="7" t="inlineStr">
        <is>
          <t>2025-03-22</t>
        </is>
      </c>
      <c r="C7" s="8" t="inlineStr">
        <is>
          <t>Alpha</t>
        </is>
      </c>
      <c r="D7" s="8" t="inlineStr">
        <is>
          <t>Express</t>
        </is>
      </c>
      <c r="E7" s="8" t="n">
        <v>300</v>
      </c>
      <c r="F7" s="8" t="n">
        <v>6</v>
      </c>
      <c r="G7" s="8" t="n">
        <v>2350</v>
      </c>
      <c r="H7" s="8" t="inlineStr">
        <is>
          <t>RO02</t>
        </is>
      </c>
      <c r="I7" s="8" t="inlineStr">
        <is>
          <t>Delivered</t>
        </is>
      </c>
      <c r="J7" s="5" t="inlineStr">
        <is>
          <t>OK</t>
        </is>
      </c>
    </row>
    <row r="8">
      <c r="A8" s="2" t="inlineStr">
        <is>
          <t>MD-007</t>
        </is>
      </c>
      <c r="B8" s="3" t="inlineStr">
        <is>
          <t>2025-04-10</t>
        </is>
      </c>
      <c r="C8" s="4" t="inlineStr">
        <is>
          <t>Alpha</t>
        </is>
      </c>
      <c r="D8" s="4" t="inlineStr">
        <is>
          <t>Express</t>
        </is>
      </c>
      <c r="E8" s="4" t="n">
        <v>420</v>
      </c>
      <c r="F8" s="4" t="n">
        <v>9</v>
      </c>
      <c r="G8" s="4" t="n">
        <v>2750</v>
      </c>
      <c r="H8" s="4" t="inlineStr">
        <is>
          <t>PV01</t>
        </is>
      </c>
      <c r="I8" s="4" t="inlineStr">
        <is>
          <t>Delivered</t>
        </is>
      </c>
      <c r="J8" s="9" t="inlineStr">
        <is>
          <t>Review</t>
        </is>
      </c>
    </row>
    <row r="9">
      <c r="A9" s="6" t="inlineStr">
        <is>
          <t>MD-008</t>
        </is>
      </c>
      <c r="B9" s="7" t="inlineStr">
        <is>
          <t>2025-04-28</t>
        </is>
      </c>
      <c r="C9" s="8" t="inlineStr">
        <is>
          <t>Alpha</t>
        </is>
      </c>
      <c r="D9" s="8" t="inlineStr">
        <is>
          <t>Standard</t>
        </is>
      </c>
      <c r="E9" s="8" t="n">
        <v>180</v>
      </c>
      <c r="F9" s="8" t="n">
        <v>14</v>
      </c>
      <c r="G9" s="8" t="n">
        <v>1450</v>
      </c>
      <c r="H9" s="8" t="inlineStr">
        <is>
          <t>ZQ03</t>
        </is>
      </c>
      <c r="I9" s="8" t="inlineStr">
        <is>
          <t>Delivered</t>
        </is>
      </c>
      <c r="J9" s="5" t="inlineStr">
        <is>
          <t>OK</t>
        </is>
      </c>
    </row>
    <row r="10">
      <c r="A10" s="2" t="inlineStr">
        <is>
          <t>MD-009</t>
        </is>
      </c>
      <c r="B10" s="3" t="inlineStr">
        <is>
          <t>2025-05-07</t>
        </is>
      </c>
      <c r="C10" s="4" t="inlineStr">
        <is>
          <t>Alpha</t>
        </is>
      </c>
      <c r="D10" s="4" t="inlineStr">
        <is>
          <t>Express</t>
        </is>
      </c>
      <c r="E10" s="4" t="n">
        <v>370</v>
      </c>
      <c r="F10" s="4" t="n">
        <v>7</v>
      </c>
      <c r="G10" s="4" t="n">
        <v>2500</v>
      </c>
      <c r="H10" s="4" t="inlineStr">
        <is>
          <t>PV01</t>
        </is>
      </c>
      <c r="I10" s="4" t="inlineStr">
        <is>
          <t>Delivered</t>
        </is>
      </c>
      <c r="J10" s="5" t="inlineStr">
        <is>
          <t>OK</t>
        </is>
      </c>
    </row>
    <row r="11">
      <c r="A11" s="6" t="inlineStr">
        <is>
          <t>MD-010</t>
        </is>
      </c>
      <c r="B11" s="7" t="inlineStr">
        <is>
          <t>2025-05-23</t>
        </is>
      </c>
      <c r="C11" s="8" t="inlineStr">
        <is>
          <t>Alpha</t>
        </is>
      </c>
      <c r="D11" s="8" t="inlineStr">
        <is>
          <t>Express</t>
        </is>
      </c>
      <c r="E11" s="8" t="n">
        <v>290</v>
      </c>
      <c r="F11" s="8" t="n">
        <v>6</v>
      </c>
      <c r="G11" s="8" t="n">
        <v>2200</v>
      </c>
      <c r="H11" s="8" t="inlineStr">
        <is>
          <t>PV01</t>
        </is>
      </c>
      <c r="I11" s="8" t="inlineStr">
        <is>
          <t>Delayed</t>
        </is>
      </c>
      <c r="J11" s="5" t="inlineStr">
        <is>
          <t>OK</t>
        </is>
      </c>
    </row>
    <row r="12">
      <c r="A12" s="2" t="inlineStr">
        <is>
          <t>MD-011</t>
        </is>
      </c>
      <c r="B12" s="3" t="inlineStr">
        <is>
          <t>2025-06-11</t>
        </is>
      </c>
      <c r="C12" s="4" t="inlineStr">
        <is>
          <t>Alpha</t>
        </is>
      </c>
      <c r="D12" s="4" t="inlineStr">
        <is>
          <t>Express</t>
        </is>
      </c>
      <c r="E12" s="4" t="n">
        <v>450</v>
      </c>
      <c r="F12" s="4" t="n">
        <v>10</v>
      </c>
      <c r="G12" s="4" t="n">
        <v>2900</v>
      </c>
      <c r="H12" s="4" t="inlineStr">
        <is>
          <t>RO02</t>
        </is>
      </c>
      <c r="I12" s="4" t="inlineStr">
        <is>
          <t>Delivered</t>
        </is>
      </c>
      <c r="J12" s="9" t="inlineStr">
        <is>
          <t>Review</t>
        </is>
      </c>
    </row>
    <row r="13">
      <c r="A13" s="6" t="inlineStr">
        <is>
          <t>MD-012</t>
        </is>
      </c>
      <c r="B13" s="7" t="inlineStr">
        <is>
          <t>2025-06-30</t>
        </is>
      </c>
      <c r="C13" s="8" t="inlineStr">
        <is>
          <t>Alpha</t>
        </is>
      </c>
      <c r="D13" s="8" t="inlineStr">
        <is>
          <t>Standard</t>
        </is>
      </c>
      <c r="E13" s="8" t="n">
        <v>220</v>
      </c>
      <c r="F13" s="8" t="n">
        <v>13</v>
      </c>
      <c r="G13" s="8" t="n">
        <v>1550</v>
      </c>
      <c r="H13" s="8" t="inlineStr">
        <is>
          <t>ZQ03</t>
        </is>
      </c>
      <c r="I13" s="8" t="inlineStr">
        <is>
          <t>Delivered</t>
        </is>
      </c>
      <c r="J13" s="5" t="inlineStr">
        <is>
          <t>OK</t>
        </is>
      </c>
    </row>
    <row r="14">
      <c r="A14" s="2" t="inlineStr">
        <is>
          <t>MD-013</t>
        </is>
      </c>
      <c r="B14" s="3" t="inlineStr">
        <is>
          <t>2025-07-09</t>
        </is>
      </c>
      <c r="C14" s="4" t="inlineStr">
        <is>
          <t>Alpha</t>
        </is>
      </c>
      <c r="D14" s="4" t="inlineStr">
        <is>
          <t>Express</t>
        </is>
      </c>
      <c r="E14" s="4" t="n">
        <v>380</v>
      </c>
      <c r="F14" s="4" t="n">
        <v>8</v>
      </c>
      <c r="G14" s="4" t="n">
        <v>2650</v>
      </c>
      <c r="H14" s="4" t="inlineStr">
        <is>
          <t>PV01</t>
        </is>
      </c>
      <c r="I14" s="4" t="inlineStr">
        <is>
          <t>Delivered</t>
        </is>
      </c>
      <c r="J14" s="9" t="inlineStr">
        <is>
          <t>Review</t>
        </is>
      </c>
    </row>
    <row r="15">
      <c r="A15" s="6" t="inlineStr">
        <is>
          <t>MD-014</t>
        </is>
      </c>
      <c r="B15" s="7" t="inlineStr">
        <is>
          <t>2025-07-25</t>
        </is>
      </c>
      <c r="C15" s="8" t="inlineStr">
        <is>
          <t>Alpha</t>
        </is>
      </c>
      <c r="D15" s="8" t="inlineStr">
        <is>
          <t>Express</t>
        </is>
      </c>
      <c r="E15" s="8" t="n">
        <v>340</v>
      </c>
      <c r="F15" s="8" t="n">
        <v>7</v>
      </c>
      <c r="G15" s="8" t="n">
        <v>2400</v>
      </c>
      <c r="H15" s="8" t="inlineStr">
        <is>
          <t>PV01</t>
        </is>
      </c>
      <c r="I15" s="8" t="inlineStr">
        <is>
          <t>Delivered</t>
        </is>
      </c>
      <c r="J15" s="5" t="inlineStr">
        <is>
          <t>OK</t>
        </is>
      </c>
    </row>
    <row r="16">
      <c r="A16" s="2" t="inlineStr">
        <is>
          <t>MD-015</t>
        </is>
      </c>
      <c r="B16" s="3" t="inlineStr">
        <is>
          <t>2025-08-06</t>
        </is>
      </c>
      <c r="C16" s="4" t="inlineStr">
        <is>
          <t>Alpha</t>
        </is>
      </c>
      <c r="D16" s="4" t="inlineStr">
        <is>
          <t>Express</t>
        </is>
      </c>
      <c r="E16" s="4" t="n">
        <v>460</v>
      </c>
      <c r="F16" s="4" t="n">
        <v>10</v>
      </c>
      <c r="G16" s="4" t="n">
        <v>2950</v>
      </c>
      <c r="H16" s="4" t="inlineStr">
        <is>
          <t>RO02</t>
        </is>
      </c>
      <c r="I16" s="4" t="inlineStr">
        <is>
          <t>Delivered</t>
        </is>
      </c>
      <c r="J16" s="9" t="inlineStr">
        <is>
          <t>Review</t>
        </is>
      </c>
    </row>
    <row r="17">
      <c r="A17" s="6" t="inlineStr">
        <is>
          <t>MD-016</t>
        </is>
      </c>
      <c r="B17" s="7" t="inlineStr">
        <is>
          <t>2025-08-20</t>
        </is>
      </c>
      <c r="C17" s="8" t="inlineStr">
        <is>
          <t>Alpha</t>
        </is>
      </c>
      <c r="D17" s="8" t="inlineStr">
        <is>
          <t>Standard</t>
        </is>
      </c>
      <c r="E17" s="8" t="n">
        <v>200</v>
      </c>
      <c r="F17" s="8" t="n">
        <v>13</v>
      </c>
      <c r="G17" s="8" t="n">
        <v>1500</v>
      </c>
      <c r="H17" s="8" t="inlineStr">
        <is>
          <t>ZQ03</t>
        </is>
      </c>
      <c r="I17" s="8" t="inlineStr">
        <is>
          <t>Delivered</t>
        </is>
      </c>
      <c r="J17" s="5" t="inlineStr">
        <is>
          <t>OK</t>
        </is>
      </c>
    </row>
    <row r="18">
      <c r="A18" s="2" t="inlineStr">
        <is>
          <t>MD-017</t>
        </is>
      </c>
      <c r="B18" s="3" t="inlineStr">
        <is>
          <t>2025-09-03</t>
        </is>
      </c>
      <c r="C18" s="4" t="inlineStr">
        <is>
          <t>Alpha</t>
        </is>
      </c>
      <c r="D18" s="4" t="inlineStr">
        <is>
          <t>Express</t>
        </is>
      </c>
      <c r="E18" s="4" t="n">
        <v>390</v>
      </c>
      <c r="F18" s="4" t="n">
        <v>8</v>
      </c>
      <c r="G18" s="4" t="n">
        <v>2700</v>
      </c>
      <c r="H18" s="4" t="inlineStr">
        <is>
          <t>PV01</t>
        </is>
      </c>
      <c r="I18" s="4" t="inlineStr">
        <is>
          <t>Delivered</t>
        </is>
      </c>
      <c r="J18" s="9" t="inlineStr">
        <is>
          <t>Review</t>
        </is>
      </c>
    </row>
    <row r="19">
      <c r="A19" s="6" t="inlineStr">
        <is>
          <t>MD-018</t>
        </is>
      </c>
      <c r="B19" s="7" t="inlineStr">
        <is>
          <t>2025-09-18</t>
        </is>
      </c>
      <c r="C19" s="8" t="inlineStr">
        <is>
          <t>Alpha</t>
        </is>
      </c>
      <c r="D19" s="8" t="inlineStr">
        <is>
          <t>Economy</t>
        </is>
      </c>
      <c r="E19" s="8" t="n">
        <v>120</v>
      </c>
      <c r="F19" s="8" t="n">
        <v>28</v>
      </c>
      <c r="G19" s="8" t="n">
        <v>850</v>
      </c>
      <c r="H19" s="8" t="inlineStr">
        <is>
          <t>ZQ03</t>
        </is>
      </c>
      <c r="I19" s="8" t="inlineStr">
        <is>
          <t>Delivered</t>
        </is>
      </c>
      <c r="J19" s="5" t="inlineStr">
        <is>
          <t>OK</t>
        </is>
      </c>
    </row>
    <row r="20">
      <c r="A20" s="2" t="inlineStr">
        <is>
          <t>MD-019</t>
        </is>
      </c>
      <c r="B20" s="3" t="inlineStr">
        <is>
          <t>2025-10-07</t>
        </is>
      </c>
      <c r="C20" s="4" t="inlineStr">
        <is>
          <t>Alpha</t>
        </is>
      </c>
      <c r="D20" s="4" t="inlineStr">
        <is>
          <t>Express</t>
        </is>
      </c>
      <c r="E20" s="4" t="n">
        <v>330</v>
      </c>
      <c r="F20" s="4" t="n">
        <v>7</v>
      </c>
      <c r="G20" s="4" t="n">
        <v>2300</v>
      </c>
      <c r="H20" s="4" t="inlineStr">
        <is>
          <t>PV01</t>
        </is>
      </c>
      <c r="I20" s="4" t="inlineStr">
        <is>
          <t>Delivered</t>
        </is>
      </c>
      <c r="J20" s="5" t="inlineStr">
        <is>
          <t>OK</t>
        </is>
      </c>
    </row>
    <row r="21">
      <c r="A21" s="6" t="inlineStr">
        <is>
          <t>MD-020</t>
        </is>
      </c>
      <c r="B21" s="7" t="inlineStr">
        <is>
          <t>2025-10-24</t>
        </is>
      </c>
      <c r="C21" s="8" t="inlineStr">
        <is>
          <t>Alpha</t>
        </is>
      </c>
      <c r="D21" s="8" t="inlineStr">
        <is>
          <t>Standard</t>
        </is>
      </c>
      <c r="E21" s="8" t="n">
        <v>240</v>
      </c>
      <c r="F21" s="8" t="n">
        <v>12</v>
      </c>
      <c r="G21" s="8" t="n">
        <v>1600</v>
      </c>
      <c r="H21" s="8" t="inlineStr">
        <is>
          <t>RO02</t>
        </is>
      </c>
      <c r="I21" s="8" t="inlineStr">
        <is>
          <t>Delivered</t>
        </is>
      </c>
      <c r="J21" s="5" t="inlineStr">
        <is>
          <t>OK</t>
        </is>
      </c>
    </row>
    <row r="22">
      <c r="A22" s="2" t="inlineStr">
        <is>
          <t>MD-021</t>
        </is>
      </c>
      <c r="B22" s="3" t="inlineStr">
        <is>
          <t>2025-11-12</t>
        </is>
      </c>
      <c r="C22" s="4" t="inlineStr">
        <is>
          <t>Alpha</t>
        </is>
      </c>
      <c r="D22" s="4" t="inlineStr">
        <is>
          <t>Express</t>
        </is>
      </c>
      <c r="E22" s="4" t="n">
        <v>500</v>
      </c>
      <c r="F22" s="4" t="n">
        <v>12</v>
      </c>
      <c r="G22" s="4" t="n">
        <v>4200</v>
      </c>
      <c r="H22" s="4" t="inlineStr">
        <is>
          <t>PV01</t>
        </is>
      </c>
      <c r="I22" s="4" t="inlineStr">
        <is>
          <t>Delivered</t>
        </is>
      </c>
      <c r="J22" s="9" t="inlineStr">
        <is>
          <t>Review</t>
        </is>
      </c>
    </row>
    <row r="23">
      <c r="A23" s="6" t="inlineStr">
        <is>
          <t>MD-022</t>
        </is>
      </c>
      <c r="B23" s="7" t="inlineStr">
        <is>
          <t>2025-12-05</t>
        </is>
      </c>
      <c r="C23" s="8" t="inlineStr">
        <is>
          <t>Alpha</t>
        </is>
      </c>
      <c r="D23" s="8" t="inlineStr">
        <is>
          <t>Economy</t>
        </is>
      </c>
      <c r="E23" s="8" t="n">
        <v>90</v>
      </c>
      <c r="F23" s="8" t="n">
        <v>24</v>
      </c>
      <c r="G23" s="8" t="n">
        <v>720</v>
      </c>
      <c r="H23" s="8" t="inlineStr">
        <is>
          <t>ZQ03</t>
        </is>
      </c>
      <c r="I23" s="8" t="inlineStr">
        <is>
          <t>Delivered</t>
        </is>
      </c>
      <c r="J23" s="5" t="inlineStr">
        <is>
          <t>OK</t>
        </is>
      </c>
    </row>
    <row r="24">
      <c r="A24" s="2" t="inlineStr">
        <is>
          <t>MD-023</t>
        </is>
      </c>
      <c r="B24" s="3" t="inlineStr">
        <is>
          <t>2025-01-12</t>
        </is>
      </c>
      <c r="C24" s="4" t="inlineStr">
        <is>
          <t>Beta</t>
        </is>
      </c>
      <c r="D24" s="4" t="inlineStr">
        <is>
          <t>Standard</t>
        </is>
      </c>
      <c r="E24" s="4" t="n">
        <v>200</v>
      </c>
      <c r="F24" s="4" t="n">
        <v>15</v>
      </c>
      <c r="G24" s="4" t="n">
        <v>1380</v>
      </c>
      <c r="H24" s="4" t="inlineStr">
        <is>
          <t>RO02</t>
        </is>
      </c>
      <c r="I24" s="4" t="inlineStr">
        <is>
          <t>Delivered</t>
        </is>
      </c>
      <c r="J24" s="5" t="inlineStr">
        <is>
          <t>OK</t>
        </is>
      </c>
    </row>
    <row r="25">
      <c r="A25" s="6" t="inlineStr">
        <is>
          <t>MD-024</t>
        </is>
      </c>
      <c r="B25" s="7" t="inlineStr">
        <is>
          <t>2025-01-27</t>
        </is>
      </c>
      <c r="C25" s="8" t="inlineStr">
        <is>
          <t>Beta</t>
        </is>
      </c>
      <c r="D25" s="8" t="inlineStr">
        <is>
          <t>Express</t>
        </is>
      </c>
      <c r="E25" s="8" t="n">
        <v>260</v>
      </c>
      <c r="F25" s="8" t="n">
        <v>7</v>
      </c>
      <c r="G25" s="8" t="n">
        <v>1950</v>
      </c>
      <c r="H25" s="8" t="inlineStr">
        <is>
          <t>PV01</t>
        </is>
      </c>
      <c r="I25" s="8" t="inlineStr">
        <is>
          <t>Delivered</t>
        </is>
      </c>
      <c r="J25" s="5" t="inlineStr">
        <is>
          <t>OK</t>
        </is>
      </c>
    </row>
    <row r="26">
      <c r="A26" s="2" t="inlineStr">
        <is>
          <t>MD-025</t>
        </is>
      </c>
      <c r="B26" s="3" t="inlineStr">
        <is>
          <t>2025-02-10</t>
        </is>
      </c>
      <c r="C26" s="4" t="inlineStr">
        <is>
          <t>Beta</t>
        </is>
      </c>
      <c r="D26" s="4" t="inlineStr">
        <is>
          <t>Economy</t>
        </is>
      </c>
      <c r="E26" s="4" t="n">
        <v>110</v>
      </c>
      <c r="F26" s="4" t="n">
        <v>30</v>
      </c>
      <c r="G26" s="4" t="n">
        <v>680</v>
      </c>
      <c r="H26" s="4" t="inlineStr">
        <is>
          <t>ZQ03</t>
        </is>
      </c>
      <c r="I26" s="4" t="inlineStr">
        <is>
          <t>Delivered</t>
        </is>
      </c>
      <c r="J26" s="5" t="inlineStr">
        <is>
          <t>OK</t>
        </is>
      </c>
    </row>
    <row r="27">
      <c r="A27" s="6" t="inlineStr">
        <is>
          <t>MD-026</t>
        </is>
      </c>
      <c r="B27" s="7" t="inlineStr">
        <is>
          <t>2025-02-25</t>
        </is>
      </c>
      <c r="C27" s="8" t="inlineStr">
        <is>
          <t>Beta</t>
        </is>
      </c>
      <c r="D27" s="8" t="inlineStr">
        <is>
          <t>Standard</t>
        </is>
      </c>
      <c r="E27" s="8" t="n">
        <v>175</v>
      </c>
      <c r="F27" s="8" t="n">
        <v>16</v>
      </c>
      <c r="G27" s="8" t="n">
        <v>1250</v>
      </c>
      <c r="H27" s="8" t="inlineStr">
        <is>
          <t>RO02</t>
        </is>
      </c>
      <c r="I27" s="8" t="inlineStr">
        <is>
          <t>Delayed</t>
        </is>
      </c>
      <c r="J27" s="5" t="inlineStr">
        <is>
          <t>OK</t>
        </is>
      </c>
    </row>
    <row r="28">
      <c r="A28" s="2" t="inlineStr">
        <is>
          <t>MD-027</t>
        </is>
      </c>
      <c r="B28" s="3" t="inlineStr">
        <is>
          <t>2025-03-14</t>
        </is>
      </c>
      <c r="C28" s="4" t="inlineStr">
        <is>
          <t>Beta</t>
        </is>
      </c>
      <c r="D28" s="4" t="inlineStr">
        <is>
          <t>Express</t>
        </is>
      </c>
      <c r="E28" s="4" t="n">
        <v>290</v>
      </c>
      <c r="F28" s="4" t="n">
        <v>8</v>
      </c>
      <c r="G28" s="4" t="n">
        <v>2050</v>
      </c>
      <c r="H28" s="4" t="inlineStr">
        <is>
          <t>PV01</t>
        </is>
      </c>
      <c r="I28" s="4" t="inlineStr">
        <is>
          <t>Delivered</t>
        </is>
      </c>
      <c r="J28" s="5" t="inlineStr">
        <is>
          <t>OK</t>
        </is>
      </c>
    </row>
    <row r="29">
      <c r="A29" s="6" t="inlineStr">
        <is>
          <t>MD-028</t>
        </is>
      </c>
      <c r="B29" s="7" t="inlineStr">
        <is>
          <t>2025-03-29</t>
        </is>
      </c>
      <c r="C29" s="8" t="inlineStr">
        <is>
          <t>Beta</t>
        </is>
      </c>
      <c r="D29" s="8" t="inlineStr">
        <is>
          <t>Economy</t>
        </is>
      </c>
      <c r="E29" s="8" t="n">
        <v>95</v>
      </c>
      <c r="F29" s="8" t="n">
        <v>32</v>
      </c>
      <c r="G29" s="8" t="n">
        <v>620</v>
      </c>
      <c r="H29" s="8" t="inlineStr">
        <is>
          <t>ZQ03</t>
        </is>
      </c>
      <c r="I29" s="8" t="inlineStr">
        <is>
          <t>Delivered</t>
        </is>
      </c>
      <c r="J29" s="5" t="inlineStr">
        <is>
          <t>OK</t>
        </is>
      </c>
    </row>
    <row r="30">
      <c r="A30" s="2" t="inlineStr">
        <is>
          <t>MD-029</t>
        </is>
      </c>
      <c r="B30" s="3" t="inlineStr">
        <is>
          <t>2025-04-15</t>
        </is>
      </c>
      <c r="C30" s="4" t="inlineStr">
        <is>
          <t>Beta</t>
        </is>
      </c>
      <c r="D30" s="4" t="inlineStr">
        <is>
          <t>Standard</t>
        </is>
      </c>
      <c r="E30" s="4" t="n">
        <v>210</v>
      </c>
      <c r="F30" s="4" t="n">
        <v>15</v>
      </c>
      <c r="G30" s="4" t="n">
        <v>1420</v>
      </c>
      <c r="H30" s="4" t="inlineStr">
        <is>
          <t>RO02</t>
        </is>
      </c>
      <c r="I30" s="4" t="inlineStr">
        <is>
          <t>Delivered</t>
        </is>
      </c>
      <c r="J30" s="5" t="inlineStr">
        <is>
          <t>OK</t>
        </is>
      </c>
    </row>
    <row r="31">
      <c r="A31" s="6" t="inlineStr">
        <is>
          <t>MD-030</t>
        </is>
      </c>
      <c r="B31" s="7" t="inlineStr">
        <is>
          <t>2025-04-30</t>
        </is>
      </c>
      <c r="C31" s="8" t="inlineStr">
        <is>
          <t>Beta</t>
        </is>
      </c>
      <c r="D31" s="8" t="inlineStr">
        <is>
          <t>Economy</t>
        </is>
      </c>
      <c r="E31" s="8" t="n">
        <v>130</v>
      </c>
      <c r="F31" s="8" t="n">
        <v>28</v>
      </c>
      <c r="G31" s="8" t="n">
        <v>750</v>
      </c>
      <c r="H31" s="8" t="inlineStr">
        <is>
          <t>ZQ03</t>
        </is>
      </c>
      <c r="I31" s="8" t="inlineStr">
        <is>
          <t>Delayed</t>
        </is>
      </c>
      <c r="J31" s="5" t="inlineStr">
        <is>
          <t>OK</t>
        </is>
      </c>
    </row>
    <row r="32">
      <c r="A32" s="2" t="inlineStr">
        <is>
          <t>MD-031</t>
        </is>
      </c>
      <c r="B32" s="3" t="inlineStr">
        <is>
          <t>2025-05-13</t>
        </is>
      </c>
      <c r="C32" s="4" t="inlineStr">
        <is>
          <t>Beta</t>
        </is>
      </c>
      <c r="D32" s="4" t="inlineStr">
        <is>
          <t>Express</t>
        </is>
      </c>
      <c r="E32" s="4" t="n">
        <v>270</v>
      </c>
      <c r="F32" s="4" t="n">
        <v>7</v>
      </c>
      <c r="G32" s="4" t="n">
        <v>1900</v>
      </c>
      <c r="H32" s="4" t="inlineStr">
        <is>
          <t>PV01</t>
        </is>
      </c>
      <c r="I32" s="4" t="inlineStr">
        <is>
          <t>Delivered</t>
        </is>
      </c>
      <c r="J32" s="5" t="inlineStr">
        <is>
          <t>OK</t>
        </is>
      </c>
    </row>
    <row r="33">
      <c r="A33" s="6" t="inlineStr">
        <is>
          <t>MD-032</t>
        </is>
      </c>
      <c r="B33" s="7" t="inlineStr">
        <is>
          <t>2025-05-28</t>
        </is>
      </c>
      <c r="C33" s="8" t="inlineStr">
        <is>
          <t>Beta</t>
        </is>
      </c>
      <c r="D33" s="8" t="inlineStr">
        <is>
          <t>Standard</t>
        </is>
      </c>
      <c r="E33" s="8" t="n">
        <v>190</v>
      </c>
      <c r="F33" s="8" t="n">
        <v>16</v>
      </c>
      <c r="G33" s="8" t="n">
        <v>1320</v>
      </c>
      <c r="H33" s="8" t="inlineStr">
        <is>
          <t>RO02</t>
        </is>
      </c>
      <c r="I33" s="8" t="inlineStr">
        <is>
          <t>Delivered</t>
        </is>
      </c>
      <c r="J33" s="5" t="inlineStr">
        <is>
          <t>OK</t>
        </is>
      </c>
    </row>
    <row r="34">
      <c r="A34" s="2" t="inlineStr">
        <is>
          <t>MD-033</t>
        </is>
      </c>
      <c r="B34" s="3" t="inlineStr">
        <is>
          <t>2025-06-16</t>
        </is>
      </c>
      <c r="C34" s="4" t="inlineStr">
        <is>
          <t>Beta</t>
        </is>
      </c>
      <c r="D34" s="4" t="inlineStr">
        <is>
          <t>Economy</t>
        </is>
      </c>
      <c r="E34" s="4" t="n">
        <v>85</v>
      </c>
      <c r="F34" s="4" t="n">
        <v>35</v>
      </c>
      <c r="G34" s="4" t="n">
        <v>580</v>
      </c>
      <c r="H34" s="4" t="inlineStr">
        <is>
          <t>ZQ03</t>
        </is>
      </c>
      <c r="I34" s="4" t="inlineStr">
        <is>
          <t>Delayed</t>
        </is>
      </c>
      <c r="J34" s="5" t="inlineStr">
        <is>
          <t>OK</t>
        </is>
      </c>
    </row>
    <row r="35">
      <c r="A35" s="6" t="inlineStr">
        <is>
          <t>MD-034</t>
        </is>
      </c>
      <c r="B35" s="7" t="inlineStr">
        <is>
          <t>2025-06-27</t>
        </is>
      </c>
      <c r="C35" s="8" t="inlineStr">
        <is>
          <t>Beta</t>
        </is>
      </c>
      <c r="D35" s="8" t="inlineStr">
        <is>
          <t>Standard</t>
        </is>
      </c>
      <c r="E35" s="8" t="n">
        <v>215</v>
      </c>
      <c r="F35" s="8" t="n">
        <v>15</v>
      </c>
      <c r="G35" s="8" t="n">
        <v>1450</v>
      </c>
      <c r="H35" s="8" t="inlineStr">
        <is>
          <t>RO02</t>
        </is>
      </c>
      <c r="I35" s="8" t="inlineStr">
        <is>
          <t>Delivered</t>
        </is>
      </c>
      <c r="J35" s="5" t="inlineStr">
        <is>
          <t>OK</t>
        </is>
      </c>
    </row>
    <row r="36">
      <c r="A36" s="2" t="inlineStr">
        <is>
          <t>MD-035</t>
        </is>
      </c>
      <c r="B36" s="3" t="inlineStr">
        <is>
          <t>2025-07-14</t>
        </is>
      </c>
      <c r="C36" s="4" t="inlineStr">
        <is>
          <t>Beta</t>
        </is>
      </c>
      <c r="D36" s="4" t="inlineStr">
        <is>
          <t>Express</t>
        </is>
      </c>
      <c r="E36" s="4" t="n">
        <v>300</v>
      </c>
      <c r="F36" s="4" t="n">
        <v>8</v>
      </c>
      <c r="G36" s="4" t="n">
        <v>2100</v>
      </c>
      <c r="H36" s="4" t="inlineStr">
        <is>
          <t>PV01</t>
        </is>
      </c>
      <c r="I36" s="4" t="inlineStr">
        <is>
          <t>Delivered</t>
        </is>
      </c>
      <c r="J36" s="5" t="inlineStr">
        <is>
          <t>OK</t>
        </is>
      </c>
    </row>
    <row r="37">
      <c r="A37" s="6" t="inlineStr">
        <is>
          <t>MD-036</t>
        </is>
      </c>
      <c r="B37" s="7" t="inlineStr">
        <is>
          <t>2025-07-30</t>
        </is>
      </c>
      <c r="C37" s="8" t="inlineStr">
        <is>
          <t>Beta</t>
        </is>
      </c>
      <c r="D37" s="8" t="inlineStr">
        <is>
          <t>Economy</t>
        </is>
      </c>
      <c r="E37" s="8" t="n">
        <v>100</v>
      </c>
      <c r="F37" s="8" t="n">
        <v>30</v>
      </c>
      <c r="G37" s="8" t="n">
        <v>650</v>
      </c>
      <c r="H37" s="8" t="inlineStr">
        <is>
          <t>ZQ03</t>
        </is>
      </c>
      <c r="I37" s="8" t="inlineStr">
        <is>
          <t>Returned</t>
        </is>
      </c>
      <c r="J37" s="5" t="inlineStr">
        <is>
          <t>OK</t>
        </is>
      </c>
    </row>
    <row r="38">
      <c r="A38" s="2" t="inlineStr">
        <is>
          <t>MD-037</t>
        </is>
      </c>
      <c r="B38" s="3" t="inlineStr">
        <is>
          <t>2025-08-11</t>
        </is>
      </c>
      <c r="C38" s="4" t="inlineStr">
        <is>
          <t>Beta</t>
        </is>
      </c>
      <c r="D38" s="4" t="inlineStr">
        <is>
          <t>Standard</t>
        </is>
      </c>
      <c r="E38" s="4" t="n">
        <v>185</v>
      </c>
      <c r="F38" s="4" t="n">
        <v>16</v>
      </c>
      <c r="G38" s="4" t="n">
        <v>1290</v>
      </c>
      <c r="H38" s="4" t="inlineStr">
        <is>
          <t>RO02</t>
        </is>
      </c>
      <c r="I38" s="4" t="inlineStr">
        <is>
          <t>Delivered</t>
        </is>
      </c>
      <c r="J38" s="5" t="inlineStr">
        <is>
          <t>OK</t>
        </is>
      </c>
    </row>
    <row r="39">
      <c r="A39" s="6" t="inlineStr">
        <is>
          <t>MD-038</t>
        </is>
      </c>
      <c r="B39" s="7" t="inlineStr">
        <is>
          <t>2025-08-25</t>
        </is>
      </c>
      <c r="C39" s="8" t="inlineStr">
        <is>
          <t>Beta</t>
        </is>
      </c>
      <c r="D39" s="8" t="inlineStr">
        <is>
          <t>Express</t>
        </is>
      </c>
      <c r="E39" s="8" t="n">
        <v>275</v>
      </c>
      <c r="F39" s="8" t="n">
        <v>7</v>
      </c>
      <c r="G39" s="8" t="n">
        <v>1980</v>
      </c>
      <c r="H39" s="8" t="inlineStr">
        <is>
          <t>PV01</t>
        </is>
      </c>
      <c r="I39" s="8" t="inlineStr">
        <is>
          <t>Delivered</t>
        </is>
      </c>
      <c r="J39" s="5" t="inlineStr">
        <is>
          <t>OK</t>
        </is>
      </c>
    </row>
    <row r="40">
      <c r="A40" s="2" t="inlineStr">
        <is>
          <t>MD-039</t>
        </is>
      </c>
      <c r="B40" s="3" t="inlineStr">
        <is>
          <t>2025-09-09</t>
        </is>
      </c>
      <c r="C40" s="4" t="inlineStr">
        <is>
          <t>Beta</t>
        </is>
      </c>
      <c r="D40" s="4" t="inlineStr">
        <is>
          <t>Economy</t>
        </is>
      </c>
      <c r="E40" s="4" t="n">
        <v>125</v>
      </c>
      <c r="F40" s="4" t="n">
        <v>29</v>
      </c>
      <c r="G40" s="4" t="n">
        <v>720</v>
      </c>
      <c r="H40" s="4" t="inlineStr">
        <is>
          <t>ZQ03</t>
        </is>
      </c>
      <c r="I40" s="4" t="inlineStr">
        <is>
          <t>Delivered</t>
        </is>
      </c>
      <c r="J40" s="5" t="inlineStr">
        <is>
          <t>OK</t>
        </is>
      </c>
    </row>
    <row r="41">
      <c r="A41" s="6" t="inlineStr">
        <is>
          <t>MD-040</t>
        </is>
      </c>
      <c r="B41" s="7" t="inlineStr">
        <is>
          <t>2025-09-24</t>
        </is>
      </c>
      <c r="C41" s="8" t="inlineStr">
        <is>
          <t>Beta</t>
        </is>
      </c>
      <c r="D41" s="8" t="inlineStr">
        <is>
          <t>Standard</t>
        </is>
      </c>
      <c r="E41" s="8" t="n">
        <v>205</v>
      </c>
      <c r="F41" s="8" t="n">
        <v>15</v>
      </c>
      <c r="G41" s="8" t="n">
        <v>1400</v>
      </c>
      <c r="H41" s="8" t="inlineStr">
        <is>
          <t>RO02</t>
        </is>
      </c>
      <c r="I41" s="8" t="inlineStr">
        <is>
          <t>Delivered</t>
        </is>
      </c>
      <c r="J41" s="5" t="inlineStr">
        <is>
          <t>OK</t>
        </is>
      </c>
    </row>
    <row r="42">
      <c r="A42" s="2" t="inlineStr">
        <is>
          <t>MD-041</t>
        </is>
      </c>
      <c r="B42" s="3" t="inlineStr">
        <is>
          <t>2025-10-13</t>
        </is>
      </c>
      <c r="C42" s="4" t="inlineStr">
        <is>
          <t>Beta</t>
        </is>
      </c>
      <c r="D42" s="4" t="inlineStr">
        <is>
          <t>Economy</t>
        </is>
      </c>
      <c r="E42" s="4" t="n">
        <v>90</v>
      </c>
      <c r="F42" s="4" t="n">
        <v>33</v>
      </c>
      <c r="G42" s="4" t="n">
        <v>600</v>
      </c>
      <c r="H42" s="4" t="inlineStr">
        <is>
          <t>ZQ03</t>
        </is>
      </c>
      <c r="I42" s="4" t="inlineStr">
        <is>
          <t>Delayed</t>
        </is>
      </c>
      <c r="J42" s="5" t="inlineStr">
        <is>
          <t>OK</t>
        </is>
      </c>
    </row>
    <row r="43">
      <c r="A43" s="6" t="inlineStr">
        <is>
          <t>MD-042</t>
        </is>
      </c>
      <c r="B43" s="7" t="inlineStr">
        <is>
          <t>2025-11-03</t>
        </is>
      </c>
      <c r="C43" s="8" t="inlineStr">
        <is>
          <t>Beta</t>
        </is>
      </c>
      <c r="D43" s="8" t="inlineStr">
        <is>
          <t>Standard</t>
        </is>
      </c>
      <c r="E43" s="8" t="n">
        <v>195</v>
      </c>
      <c r="F43" s="8" t="n">
        <v>16</v>
      </c>
      <c r="G43" s="8" t="n">
        <v>1350</v>
      </c>
      <c r="H43" s="8" t="inlineStr">
        <is>
          <t>RO02</t>
        </is>
      </c>
      <c r="I43" s="8" t="inlineStr">
        <is>
          <t>Delivered</t>
        </is>
      </c>
      <c r="J43" s="5" t="inlineStr">
        <is>
          <t>OK</t>
        </is>
      </c>
    </row>
    <row r="44">
      <c r="A44" s="2" t="inlineStr">
        <is>
          <t>MD-043</t>
        </is>
      </c>
      <c r="B44" s="3" t="inlineStr">
        <is>
          <t>2025-01-20</t>
        </is>
      </c>
      <c r="C44" s="4" t="inlineStr">
        <is>
          <t>Gamma</t>
        </is>
      </c>
      <c r="D44" s="4" t="inlineStr">
        <is>
          <t>Standard</t>
        </is>
      </c>
      <c r="E44" s="4" t="n">
        <v>160</v>
      </c>
      <c r="F44" s="4" t="n">
        <v>18</v>
      </c>
      <c r="G44" s="4" t="n">
        <v>1180</v>
      </c>
      <c r="H44" s="4" t="inlineStr">
        <is>
          <t>RO02</t>
        </is>
      </c>
      <c r="I44" s="4" t="inlineStr">
        <is>
          <t>Delivered</t>
        </is>
      </c>
      <c r="J44" s="5" t="inlineStr">
        <is>
          <t>OK</t>
        </is>
      </c>
    </row>
    <row r="45">
      <c r="A45" s="6" t="inlineStr">
        <is>
          <t>MD-044</t>
        </is>
      </c>
      <c r="B45" s="7" t="inlineStr">
        <is>
          <t>2025-02-07</t>
        </is>
      </c>
      <c r="C45" s="8" t="inlineStr">
        <is>
          <t>Gamma</t>
        </is>
      </c>
      <c r="D45" s="8" t="inlineStr">
        <is>
          <t>Economy</t>
        </is>
      </c>
      <c r="E45" s="8" t="n">
        <v>75</v>
      </c>
      <c r="F45" s="8" t="n">
        <v>36</v>
      </c>
      <c r="G45" s="8" t="n">
        <v>520</v>
      </c>
      <c r="H45" s="8" t="inlineStr">
        <is>
          <t>ZQ03</t>
        </is>
      </c>
      <c r="I45" s="8" t="inlineStr">
        <is>
          <t>Delivered</t>
        </is>
      </c>
      <c r="J45" s="5" t="inlineStr">
        <is>
          <t>OK</t>
        </is>
      </c>
    </row>
    <row r="46">
      <c r="A46" s="2" t="inlineStr">
        <is>
          <t>MD-045</t>
        </is>
      </c>
      <c r="B46" s="3" t="inlineStr">
        <is>
          <t>2025-02-22</t>
        </is>
      </c>
      <c r="C46" s="4" t="inlineStr">
        <is>
          <t>Gamma</t>
        </is>
      </c>
      <c r="D46" s="4" t="inlineStr">
        <is>
          <t>Standard</t>
        </is>
      </c>
      <c r="E46" s="4" t="n">
        <v>170</v>
      </c>
      <c r="F46" s="4" t="n">
        <v>17</v>
      </c>
      <c r="G46" s="4" t="n">
        <v>1240</v>
      </c>
      <c r="H46" s="4" t="inlineStr">
        <is>
          <t>RO02</t>
        </is>
      </c>
      <c r="I46" s="4" t="inlineStr">
        <is>
          <t>Delivered</t>
        </is>
      </c>
      <c r="J46" s="5" t="inlineStr">
        <is>
          <t>OK</t>
        </is>
      </c>
    </row>
    <row r="47">
      <c r="A47" s="6" t="inlineStr">
        <is>
          <t>MD-046</t>
        </is>
      </c>
      <c r="B47" s="7" t="inlineStr">
        <is>
          <t>2025-03-10</t>
        </is>
      </c>
      <c r="C47" s="8" t="inlineStr">
        <is>
          <t>Gamma</t>
        </is>
      </c>
      <c r="D47" s="8" t="inlineStr">
        <is>
          <t>Standard</t>
        </is>
      </c>
      <c r="E47" s="8" t="n">
        <v>185</v>
      </c>
      <c r="F47" s="8" t="n">
        <v>18</v>
      </c>
      <c r="G47" s="8" t="n">
        <v>1300</v>
      </c>
      <c r="H47" s="8" t="inlineStr">
        <is>
          <t>RO02</t>
        </is>
      </c>
      <c r="I47" s="8" t="inlineStr">
        <is>
          <t>Delayed</t>
        </is>
      </c>
      <c r="J47" s="5" t="inlineStr">
        <is>
          <t>OK</t>
        </is>
      </c>
    </row>
    <row r="48">
      <c r="A48" s="2" t="inlineStr">
        <is>
          <t>MD-047</t>
        </is>
      </c>
      <c r="B48" s="3" t="inlineStr">
        <is>
          <t>2025-03-26</t>
        </is>
      </c>
      <c r="C48" s="4" t="inlineStr">
        <is>
          <t>Gamma</t>
        </is>
      </c>
      <c r="D48" s="4" t="inlineStr">
        <is>
          <t>Economy</t>
        </is>
      </c>
      <c r="E48" s="4" t="n">
        <v>80</v>
      </c>
      <c r="F48" s="4" t="n">
        <v>38</v>
      </c>
      <c r="G48" s="4" t="n">
        <v>540</v>
      </c>
      <c r="H48" s="4" t="inlineStr">
        <is>
          <t>ZQ03</t>
        </is>
      </c>
      <c r="I48" s="4" t="inlineStr">
        <is>
          <t>Delivered</t>
        </is>
      </c>
      <c r="J48" s="5" t="inlineStr">
        <is>
          <t>OK</t>
        </is>
      </c>
    </row>
    <row r="49">
      <c r="A49" s="6" t="inlineStr">
        <is>
          <t>MD-048</t>
        </is>
      </c>
      <c r="B49" s="7" t="inlineStr">
        <is>
          <t>2025-04-08</t>
        </is>
      </c>
      <c r="C49" s="8" t="inlineStr">
        <is>
          <t>Gamma</t>
        </is>
      </c>
      <c r="D49" s="8" t="inlineStr">
        <is>
          <t>Express</t>
        </is>
      </c>
      <c r="E49" s="8" t="n">
        <v>240</v>
      </c>
      <c r="F49" s="8" t="n">
        <v>9</v>
      </c>
      <c r="G49" s="8" t="n">
        <v>1750</v>
      </c>
      <c r="H49" s="8" t="inlineStr">
        <is>
          <t>PV01</t>
        </is>
      </c>
      <c r="I49" s="8" t="inlineStr">
        <is>
          <t>Delivered</t>
        </is>
      </c>
      <c r="J49" s="5" t="inlineStr">
        <is>
          <t>OK</t>
        </is>
      </c>
    </row>
    <row r="50">
      <c r="A50" s="2" t="inlineStr">
        <is>
          <t>MD-049</t>
        </is>
      </c>
      <c r="B50" s="3" t="inlineStr">
        <is>
          <t>2025-04-22</t>
        </is>
      </c>
      <c r="C50" s="4" t="inlineStr">
        <is>
          <t>Gamma</t>
        </is>
      </c>
      <c r="D50" s="4" t="inlineStr">
        <is>
          <t>Standard</t>
        </is>
      </c>
      <c r="E50" s="4" t="n">
        <v>155</v>
      </c>
      <c r="F50" s="4" t="n">
        <v>19</v>
      </c>
      <c r="G50" s="4" t="n">
        <v>1150</v>
      </c>
      <c r="H50" s="4" t="inlineStr">
        <is>
          <t>RO02</t>
        </is>
      </c>
      <c r="I50" s="4" t="inlineStr">
        <is>
          <t>Delivered</t>
        </is>
      </c>
      <c r="J50" s="5" t="inlineStr">
        <is>
          <t>OK</t>
        </is>
      </c>
    </row>
    <row r="51">
      <c r="A51" s="6" t="inlineStr">
        <is>
          <t>MD-050</t>
        </is>
      </c>
      <c r="B51" s="7" t="inlineStr">
        <is>
          <t>2025-05-06</t>
        </is>
      </c>
      <c r="C51" s="8" t="inlineStr">
        <is>
          <t>Gamma</t>
        </is>
      </c>
      <c r="D51" s="8" t="inlineStr">
        <is>
          <t>Economy</t>
        </is>
      </c>
      <c r="E51" s="8" t="n">
        <v>70</v>
      </c>
      <c r="F51" s="8" t="n">
        <v>40</v>
      </c>
      <c r="G51" s="8" t="n">
        <v>490</v>
      </c>
      <c r="H51" s="8" t="inlineStr">
        <is>
          <t>ZQ03</t>
        </is>
      </c>
      <c r="I51" s="8" t="inlineStr">
        <is>
          <t>Delayed</t>
        </is>
      </c>
      <c r="J51" s="5" t="inlineStr">
        <is>
          <t>OK</t>
        </is>
      </c>
    </row>
    <row r="52">
      <c r="A52" s="2" t="inlineStr">
        <is>
          <t>MD-051</t>
        </is>
      </c>
      <c r="B52" s="3" t="inlineStr">
        <is>
          <t>2025-05-21</t>
        </is>
      </c>
      <c r="C52" s="4" t="inlineStr">
        <is>
          <t>Gamma</t>
        </is>
      </c>
      <c r="D52" s="4" t="inlineStr">
        <is>
          <t>Standard</t>
        </is>
      </c>
      <c r="E52" s="4" t="n">
        <v>180</v>
      </c>
      <c r="F52" s="4" t="n">
        <v>18</v>
      </c>
      <c r="G52" s="4" t="n">
        <v>1280</v>
      </c>
      <c r="H52" s="4" t="inlineStr">
        <is>
          <t>RO02</t>
        </is>
      </c>
      <c r="I52" s="4" t="inlineStr">
        <is>
          <t>Delivered</t>
        </is>
      </c>
      <c r="J52" s="5" t="inlineStr">
        <is>
          <t>OK</t>
        </is>
      </c>
    </row>
    <row r="53">
      <c r="A53" s="6" t="inlineStr">
        <is>
          <t>MD-052</t>
        </is>
      </c>
      <c r="B53" s="7" t="inlineStr">
        <is>
          <t>2025-06-04</t>
        </is>
      </c>
      <c r="C53" s="8" t="inlineStr">
        <is>
          <t>Gamma</t>
        </is>
      </c>
      <c r="D53" s="8" t="inlineStr">
        <is>
          <t>Standard</t>
        </is>
      </c>
      <c r="E53" s="8" t="n">
        <v>165</v>
      </c>
      <c r="F53" s="8" t="n">
        <v>18</v>
      </c>
      <c r="G53" s="8" t="n">
        <v>1200</v>
      </c>
      <c r="H53" s="8" t="inlineStr">
        <is>
          <t>RO02</t>
        </is>
      </c>
      <c r="I53" s="8" t="inlineStr">
        <is>
          <t>Delivered</t>
        </is>
      </c>
      <c r="J53" s="5" t="inlineStr">
        <is>
          <t>OK</t>
        </is>
      </c>
    </row>
    <row r="54">
      <c r="A54" s="2" t="inlineStr">
        <is>
          <t>MD-053</t>
        </is>
      </c>
      <c r="B54" s="3" t="inlineStr">
        <is>
          <t>2025-06-19</t>
        </is>
      </c>
      <c r="C54" s="4" t="inlineStr">
        <is>
          <t>Gamma</t>
        </is>
      </c>
      <c r="D54" s="4" t="inlineStr">
        <is>
          <t>Economy</t>
        </is>
      </c>
      <c r="E54" s="4" t="n">
        <v>85</v>
      </c>
      <c r="F54" s="4" t="n">
        <v>36</v>
      </c>
      <c r="G54" s="4" t="n">
        <v>560</v>
      </c>
      <c r="H54" s="4" t="inlineStr">
        <is>
          <t>ZQ03</t>
        </is>
      </c>
      <c r="I54" s="4" t="inlineStr">
        <is>
          <t>Returned</t>
        </is>
      </c>
      <c r="J54" s="5" t="inlineStr">
        <is>
          <t>OK</t>
        </is>
      </c>
    </row>
    <row r="55">
      <c r="A55" s="6" t="inlineStr">
        <is>
          <t>MD-054</t>
        </is>
      </c>
      <c r="B55" s="7" t="inlineStr">
        <is>
          <t>2025-07-03</t>
        </is>
      </c>
      <c r="C55" s="8" t="inlineStr">
        <is>
          <t>Gamma</t>
        </is>
      </c>
      <c r="D55" s="8" t="inlineStr">
        <is>
          <t>Standard</t>
        </is>
      </c>
      <c r="E55" s="8" t="n">
        <v>175</v>
      </c>
      <c r="F55" s="8" t="n">
        <v>19</v>
      </c>
      <c r="G55" s="8" t="n">
        <v>1260</v>
      </c>
      <c r="H55" s="8" t="inlineStr">
        <is>
          <t>RO02</t>
        </is>
      </c>
      <c r="I55" s="8" t="inlineStr">
        <is>
          <t>Delivered</t>
        </is>
      </c>
      <c r="J55" s="5" t="inlineStr">
        <is>
          <t>OK</t>
        </is>
      </c>
    </row>
    <row r="56">
      <c r="A56" s="2" t="inlineStr">
        <is>
          <t>MD-055</t>
        </is>
      </c>
      <c r="B56" s="3" t="inlineStr">
        <is>
          <t>2025-07-18</t>
        </is>
      </c>
      <c r="C56" s="4" t="inlineStr">
        <is>
          <t>Gamma</t>
        </is>
      </c>
      <c r="D56" s="4" t="inlineStr">
        <is>
          <t>Express</t>
        </is>
      </c>
      <c r="E56" s="4" t="n">
        <v>250</v>
      </c>
      <c r="F56" s="4" t="n">
        <v>9</v>
      </c>
      <c r="G56" s="4" t="n">
        <v>1820</v>
      </c>
      <c r="H56" s="4" t="inlineStr">
        <is>
          <t>PV01</t>
        </is>
      </c>
      <c r="I56" s="4" t="inlineStr">
        <is>
          <t>Delivered</t>
        </is>
      </c>
      <c r="J56" s="5" t="inlineStr">
        <is>
          <t>OK</t>
        </is>
      </c>
    </row>
    <row r="57">
      <c r="A57" s="6" t="inlineStr">
        <is>
          <t>MD-056</t>
        </is>
      </c>
      <c r="B57" s="7" t="inlineStr">
        <is>
          <t>2025-08-01</t>
        </is>
      </c>
      <c r="C57" s="8" t="inlineStr">
        <is>
          <t>Gamma</t>
        </is>
      </c>
      <c r="D57" s="8" t="inlineStr">
        <is>
          <t>Economy</t>
        </is>
      </c>
      <c r="E57" s="8" t="n">
        <v>78</v>
      </c>
      <c r="F57" s="8" t="n">
        <v>37</v>
      </c>
      <c r="G57" s="8" t="n">
        <v>530</v>
      </c>
      <c r="H57" s="8" t="inlineStr">
        <is>
          <t>ZQ03</t>
        </is>
      </c>
      <c r="I57" s="8" t="inlineStr">
        <is>
          <t>Delivered</t>
        </is>
      </c>
      <c r="J57" s="5" t="inlineStr">
        <is>
          <t>OK</t>
        </is>
      </c>
    </row>
    <row r="58">
      <c r="A58" s="2" t="inlineStr">
        <is>
          <t>MD-057</t>
        </is>
      </c>
      <c r="B58" s="3" t="inlineStr">
        <is>
          <t>2025-08-16</t>
        </is>
      </c>
      <c r="C58" s="4" t="inlineStr">
        <is>
          <t>Gamma</t>
        </is>
      </c>
      <c r="D58" s="4" t="inlineStr">
        <is>
          <t>Standard</t>
        </is>
      </c>
      <c r="E58" s="4" t="n">
        <v>190</v>
      </c>
      <c r="F58" s="4" t="n">
        <v>17</v>
      </c>
      <c r="G58" s="4" t="n">
        <v>1320</v>
      </c>
      <c r="H58" s="4" t="inlineStr">
        <is>
          <t>RO02</t>
        </is>
      </c>
      <c r="I58" s="4" t="inlineStr">
        <is>
          <t>Delivered</t>
        </is>
      </c>
      <c r="J58" s="5" t="inlineStr">
        <is>
          <t>OK</t>
        </is>
      </c>
    </row>
    <row r="59">
      <c r="A59" s="6" t="inlineStr">
        <is>
          <t>MD-058</t>
        </is>
      </c>
      <c r="B59" s="7" t="inlineStr">
        <is>
          <t>2025-09-05</t>
        </is>
      </c>
      <c r="C59" s="8" t="inlineStr">
        <is>
          <t>Gamma</t>
        </is>
      </c>
      <c r="D59" s="8" t="inlineStr">
        <is>
          <t>Standard</t>
        </is>
      </c>
      <c r="E59" s="8" t="n">
        <v>162</v>
      </c>
      <c r="F59" s="8" t="n">
        <v>19</v>
      </c>
      <c r="G59" s="8" t="n">
        <v>1190</v>
      </c>
      <c r="H59" s="8" t="inlineStr">
        <is>
          <t>RO02</t>
        </is>
      </c>
      <c r="I59" s="8" t="inlineStr">
        <is>
          <t>Delayed</t>
        </is>
      </c>
      <c r="J59" s="5" t="inlineStr">
        <is>
          <t>OK</t>
        </is>
      </c>
    </row>
    <row r="60">
      <c r="A60" s="2" t="inlineStr">
        <is>
          <t>MD-059</t>
        </is>
      </c>
      <c r="B60" s="3" t="inlineStr">
        <is>
          <t>2025-10-01</t>
        </is>
      </c>
      <c r="C60" s="4" t="inlineStr">
        <is>
          <t>Gamma</t>
        </is>
      </c>
      <c r="D60" s="4" t="inlineStr">
        <is>
          <t>Economy</t>
        </is>
      </c>
      <c r="E60" s="4" t="n">
        <v>72</v>
      </c>
      <c r="F60" s="4" t="n">
        <v>39</v>
      </c>
      <c r="G60" s="4" t="n">
        <v>500</v>
      </c>
      <c r="H60" s="4" t="inlineStr">
        <is>
          <t>ZQ03</t>
        </is>
      </c>
      <c r="I60" s="4" t="inlineStr">
        <is>
          <t>Delivered</t>
        </is>
      </c>
      <c r="J60" s="5" t="inlineStr">
        <is>
          <t>OK</t>
        </is>
      </c>
    </row>
    <row r="61">
      <c r="A61" s="6" t="inlineStr">
        <is>
          <t>MD-060</t>
        </is>
      </c>
      <c r="B61" s="7" t="inlineStr">
        <is>
          <t>2025-11-14</t>
        </is>
      </c>
      <c r="C61" s="8" t="inlineStr">
        <is>
          <t>Gamma</t>
        </is>
      </c>
      <c r="D61" s="8" t="inlineStr">
        <is>
          <t>Express</t>
        </is>
      </c>
      <c r="E61" s="8" t="n">
        <v>230</v>
      </c>
      <c r="F61" s="8" t="n">
        <v>9</v>
      </c>
      <c r="G61" s="8" t="n">
        <v>1680</v>
      </c>
      <c r="H61" s="8" t="inlineStr">
        <is>
          <t>PV01</t>
        </is>
      </c>
      <c r="I61" s="8" t="inlineStr">
        <is>
          <t>Delivered</t>
        </is>
      </c>
      <c r="J61" s="5" t="inlineStr">
        <is>
          <t>OK</t>
        </is>
      </c>
    </row>
    <row r="62">
      <c r="A62" s="2" t="inlineStr">
        <is>
          <t>MD-061</t>
        </is>
      </c>
      <c r="B62" s="3" t="inlineStr">
        <is>
          <t>2025-01-30</t>
        </is>
      </c>
      <c r="C62" s="4" t="inlineStr">
        <is>
          <t>Delta</t>
        </is>
      </c>
      <c r="D62" s="4" t="inlineStr">
        <is>
          <t>Economy</t>
        </is>
      </c>
      <c r="E62" s="4" t="n">
        <v>60</v>
      </c>
      <c r="F62" s="4" t="n">
        <v>42</v>
      </c>
      <c r="G62" s="4" t="n">
        <v>380</v>
      </c>
      <c r="H62" s="4" t="inlineStr">
        <is>
          <t>ZQ03</t>
        </is>
      </c>
      <c r="I62" s="4" t="inlineStr">
        <is>
          <t>Delivered</t>
        </is>
      </c>
      <c r="J62" s="5" t="inlineStr">
        <is>
          <t>OK</t>
        </is>
      </c>
    </row>
    <row r="63">
      <c r="A63" s="6" t="inlineStr">
        <is>
          <t>MD-062</t>
        </is>
      </c>
      <c r="B63" s="7" t="inlineStr">
        <is>
          <t>2025-02-14</t>
        </is>
      </c>
      <c r="C63" s="8" t="inlineStr">
        <is>
          <t>Delta</t>
        </is>
      </c>
      <c r="D63" s="8" t="inlineStr">
        <is>
          <t>Economy</t>
        </is>
      </c>
      <c r="E63" s="8" t="n">
        <v>75</v>
      </c>
      <c r="F63" s="8" t="n">
        <v>40</v>
      </c>
      <c r="G63" s="8" t="n">
        <v>420</v>
      </c>
      <c r="H63" s="8" t="inlineStr">
        <is>
          <t>ZQ03</t>
        </is>
      </c>
      <c r="I63" s="8" t="inlineStr">
        <is>
          <t>Delayed</t>
        </is>
      </c>
      <c r="J63" s="5" t="inlineStr">
        <is>
          <t>OK</t>
        </is>
      </c>
    </row>
    <row r="64">
      <c r="A64" s="2" t="inlineStr">
        <is>
          <t>MD-063</t>
        </is>
      </c>
      <c r="B64" s="3" t="inlineStr">
        <is>
          <t>2025-03-03</t>
        </is>
      </c>
      <c r="C64" s="4" t="inlineStr">
        <is>
          <t>Delta</t>
        </is>
      </c>
      <c r="D64" s="4" t="inlineStr">
        <is>
          <t>Standard</t>
        </is>
      </c>
      <c r="E64" s="4" t="n">
        <v>140</v>
      </c>
      <c r="F64" s="4" t="n">
        <v>22</v>
      </c>
      <c r="G64" s="4" t="n">
        <v>980</v>
      </c>
      <c r="H64" s="4" t="inlineStr">
        <is>
          <t>RO02</t>
        </is>
      </c>
      <c r="I64" s="4" t="inlineStr">
        <is>
          <t>Delivered</t>
        </is>
      </c>
      <c r="J64" s="5" t="inlineStr">
        <is>
          <t>OK</t>
        </is>
      </c>
    </row>
    <row r="65">
      <c r="A65" s="6" t="inlineStr">
        <is>
          <t>MD-064</t>
        </is>
      </c>
      <c r="B65" s="7" t="inlineStr">
        <is>
          <t>2025-03-18</t>
        </is>
      </c>
      <c r="C65" s="8" t="inlineStr">
        <is>
          <t>Delta</t>
        </is>
      </c>
      <c r="D65" s="8" t="inlineStr">
        <is>
          <t>Economy</t>
        </is>
      </c>
      <c r="E65" s="8" t="n">
        <v>65</v>
      </c>
      <c r="F65" s="8" t="n">
        <v>44</v>
      </c>
      <c r="G65" s="8" t="n">
        <v>360</v>
      </c>
      <c r="H65" s="8" t="inlineStr">
        <is>
          <t>ZQ03</t>
        </is>
      </c>
      <c r="I65" s="8" t="inlineStr">
        <is>
          <t>Delivered</t>
        </is>
      </c>
      <c r="J65" s="5" t="inlineStr">
        <is>
          <t>OK</t>
        </is>
      </c>
    </row>
    <row r="66">
      <c r="A66" s="2" t="inlineStr">
        <is>
          <t>MD-065</t>
        </is>
      </c>
      <c r="B66" s="3" t="inlineStr">
        <is>
          <t>2025-04-04</t>
        </is>
      </c>
      <c r="C66" s="4" t="inlineStr">
        <is>
          <t>Delta</t>
        </is>
      </c>
      <c r="D66" s="4" t="inlineStr">
        <is>
          <t>Economy</t>
        </is>
      </c>
      <c r="E66" s="4" t="n">
        <v>70</v>
      </c>
      <c r="F66" s="4" t="n">
        <v>42</v>
      </c>
      <c r="G66" s="4" t="n">
        <v>390</v>
      </c>
      <c r="H66" s="4" t="inlineStr">
        <is>
          <t>ZQ03</t>
        </is>
      </c>
      <c r="I66" s="4" t="inlineStr">
        <is>
          <t>Delayed</t>
        </is>
      </c>
      <c r="J66" s="5" t="inlineStr">
        <is>
          <t>OK</t>
        </is>
      </c>
    </row>
    <row r="67">
      <c r="A67" s="6" t="inlineStr">
        <is>
          <t>MD-066</t>
        </is>
      </c>
      <c r="B67" s="7" t="inlineStr">
        <is>
          <t>2025-04-19</t>
        </is>
      </c>
      <c r="C67" s="8" t="inlineStr">
        <is>
          <t>Delta</t>
        </is>
      </c>
      <c r="D67" s="8" t="inlineStr">
        <is>
          <t>Standard</t>
        </is>
      </c>
      <c r="E67" s="8" t="n">
        <v>130</v>
      </c>
      <c r="F67" s="8" t="n">
        <v>23</v>
      </c>
      <c r="G67" s="8" t="n">
        <v>920</v>
      </c>
      <c r="H67" s="8" t="inlineStr">
        <is>
          <t>RO02</t>
        </is>
      </c>
      <c r="I67" s="8" t="inlineStr">
        <is>
          <t>Delivered</t>
        </is>
      </c>
      <c r="J67" s="5" t="inlineStr">
        <is>
          <t>OK</t>
        </is>
      </c>
    </row>
    <row r="68">
      <c r="A68" s="2" t="inlineStr">
        <is>
          <t>MD-067</t>
        </is>
      </c>
      <c r="B68" s="3" t="inlineStr">
        <is>
          <t>2025-05-10</t>
        </is>
      </c>
      <c r="C68" s="4" t="inlineStr">
        <is>
          <t>Delta</t>
        </is>
      </c>
      <c r="D68" s="4" t="inlineStr">
        <is>
          <t>Economy</t>
        </is>
      </c>
      <c r="E68" s="4" t="n">
        <v>55</v>
      </c>
      <c r="F68" s="4" t="n">
        <v>46</v>
      </c>
      <c r="G68" s="4" t="n">
        <v>340</v>
      </c>
      <c r="H68" s="4" t="inlineStr">
        <is>
          <t>ZQ03</t>
        </is>
      </c>
      <c r="I68" s="4" t="inlineStr">
        <is>
          <t>Returned</t>
        </is>
      </c>
      <c r="J68" s="5" t="inlineStr">
        <is>
          <t>OK</t>
        </is>
      </c>
    </row>
    <row r="69">
      <c r="A69" s="6" t="inlineStr">
        <is>
          <t>MD-068</t>
        </is>
      </c>
      <c r="B69" s="7" t="inlineStr">
        <is>
          <t>2025-06-02</t>
        </is>
      </c>
      <c r="C69" s="8" t="inlineStr">
        <is>
          <t>Delta</t>
        </is>
      </c>
      <c r="D69" s="8" t="inlineStr">
        <is>
          <t>Economy</t>
        </is>
      </c>
      <c r="E69" s="8" t="n">
        <v>80</v>
      </c>
      <c r="F69" s="8" t="n">
        <v>40</v>
      </c>
      <c r="G69" s="8" t="n">
        <v>430</v>
      </c>
      <c r="H69" s="8" t="inlineStr">
        <is>
          <t>ZQ03</t>
        </is>
      </c>
      <c r="I69" s="8" t="inlineStr">
        <is>
          <t>Delivered</t>
        </is>
      </c>
      <c r="J69" s="5" t="inlineStr">
        <is>
          <t>OK</t>
        </is>
      </c>
    </row>
    <row r="70">
      <c r="A70" s="2" t="inlineStr">
        <is>
          <t>MD-069</t>
        </is>
      </c>
      <c r="B70" s="3" t="inlineStr">
        <is>
          <t>2025-06-23</t>
        </is>
      </c>
      <c r="C70" s="4" t="inlineStr">
        <is>
          <t>Delta</t>
        </is>
      </c>
      <c r="D70" s="4" t="inlineStr">
        <is>
          <t>Standard</t>
        </is>
      </c>
      <c r="E70" s="4" t="n">
        <v>145</v>
      </c>
      <c r="F70" s="4" t="n">
        <v>21</v>
      </c>
      <c r="G70" s="4" t="n">
        <v>1020</v>
      </c>
      <c r="H70" s="4" t="inlineStr">
        <is>
          <t>RO02</t>
        </is>
      </c>
      <c r="I70" s="4" t="inlineStr">
        <is>
          <t>Delivered</t>
        </is>
      </c>
      <c r="J70" s="5" t="inlineStr">
        <is>
          <t>OK</t>
        </is>
      </c>
    </row>
    <row r="71">
      <c r="A71" s="6" t="inlineStr">
        <is>
          <t>MD-070</t>
        </is>
      </c>
      <c r="B71" s="7" t="inlineStr">
        <is>
          <t>2025-07-15</t>
        </is>
      </c>
      <c r="C71" s="8" t="inlineStr">
        <is>
          <t>Delta</t>
        </is>
      </c>
      <c r="D71" s="8" t="inlineStr">
        <is>
          <t>Economy</t>
        </is>
      </c>
      <c r="E71" s="8" t="n">
        <v>62</v>
      </c>
      <c r="F71" s="8" t="n">
        <v>44</v>
      </c>
      <c r="G71" s="8" t="n">
        <v>370</v>
      </c>
      <c r="H71" s="8" t="inlineStr">
        <is>
          <t>ZQ03</t>
        </is>
      </c>
      <c r="I71" s="8" t="inlineStr">
        <is>
          <t>Delivered</t>
        </is>
      </c>
      <c r="J71" s="5" t="inlineStr">
        <is>
          <t>OK</t>
        </is>
      </c>
    </row>
    <row r="72">
      <c r="A72" s="2" t="inlineStr">
        <is>
          <t>MD-071</t>
        </is>
      </c>
      <c r="B72" s="3" t="inlineStr">
        <is>
          <t>2025-07-28</t>
        </is>
      </c>
      <c r="C72" s="4" t="inlineStr">
        <is>
          <t>Delta</t>
        </is>
      </c>
      <c r="D72" s="4" t="inlineStr">
        <is>
          <t>Standard</t>
        </is>
      </c>
      <c r="E72" s="4" t="n">
        <v>135</v>
      </c>
      <c r="F72" s="4" t="n">
        <v>22</v>
      </c>
      <c r="G72" s="4" t="n">
        <v>950</v>
      </c>
      <c r="H72" s="4" t="inlineStr">
        <is>
          <t>RO02</t>
        </is>
      </c>
      <c r="I72" s="4" t="inlineStr">
        <is>
          <t>Delayed</t>
        </is>
      </c>
      <c r="J72" s="5" t="inlineStr">
        <is>
          <t>OK</t>
        </is>
      </c>
    </row>
    <row r="73">
      <c r="A73" s="6" t="inlineStr">
        <is>
          <t>MD-072</t>
        </is>
      </c>
      <c r="B73" s="7" t="inlineStr">
        <is>
          <t>2025-08-08</t>
        </is>
      </c>
      <c r="C73" s="8" t="inlineStr">
        <is>
          <t>Delta</t>
        </is>
      </c>
      <c r="D73" s="8" t="inlineStr">
        <is>
          <t>Economy</t>
        </is>
      </c>
      <c r="E73" s="8" t="n">
        <v>58</v>
      </c>
      <c r="F73" s="8" t="n">
        <v>46</v>
      </c>
      <c r="G73" s="8" t="n">
        <v>350</v>
      </c>
      <c r="H73" s="8" t="inlineStr">
        <is>
          <t>ZQ03</t>
        </is>
      </c>
      <c r="I73" s="8" t="inlineStr">
        <is>
          <t>Delivered</t>
        </is>
      </c>
      <c r="J73" s="5" t="inlineStr">
        <is>
          <t>OK</t>
        </is>
      </c>
    </row>
    <row r="74">
      <c r="A74" s="2" t="inlineStr">
        <is>
          <t>MD-073</t>
        </is>
      </c>
      <c r="B74" s="3" t="inlineStr">
        <is>
          <t>2025-09-15</t>
        </is>
      </c>
      <c r="C74" s="4" t="inlineStr">
        <is>
          <t>Delta</t>
        </is>
      </c>
      <c r="D74" s="4" t="inlineStr">
        <is>
          <t>Economy</t>
        </is>
      </c>
      <c r="E74" s="4" t="n">
        <v>72</v>
      </c>
      <c r="F74" s="4" t="n">
        <v>41</v>
      </c>
      <c r="G74" s="4" t="n">
        <v>400</v>
      </c>
      <c r="H74" s="4" t="inlineStr">
        <is>
          <t>ZQ03</t>
        </is>
      </c>
      <c r="I74" s="4" t="inlineStr">
        <is>
          <t>Delivered</t>
        </is>
      </c>
      <c r="J74" s="5" t="inlineStr">
        <is>
          <t>OK</t>
        </is>
      </c>
    </row>
    <row r="75">
      <c r="A75" s="6" t="inlineStr">
        <is>
          <t>MD-074</t>
        </is>
      </c>
      <c r="B75" s="7" t="inlineStr">
        <is>
          <t>2025-10-20</t>
        </is>
      </c>
      <c r="C75" s="8" t="inlineStr">
        <is>
          <t>Delta</t>
        </is>
      </c>
      <c r="D75" s="8" t="inlineStr">
        <is>
          <t>Express</t>
        </is>
      </c>
      <c r="E75" s="8" t="n">
        <v>220</v>
      </c>
      <c r="F75" s="8" t="n">
        <v>10</v>
      </c>
      <c r="G75" s="8" t="n">
        <v>1620</v>
      </c>
      <c r="H75" s="8" t="inlineStr">
        <is>
          <t>PV01</t>
        </is>
      </c>
      <c r="I75" s="8" t="inlineStr">
        <is>
          <t>Delivered</t>
        </is>
      </c>
      <c r="J75" s="5" t="inlineStr">
        <is>
          <t>OK</t>
        </is>
      </c>
    </row>
    <row r="76">
      <c r="A76" s="2" t="inlineStr">
        <is>
          <t>MD-075</t>
        </is>
      </c>
      <c r="B76" s="3" t="inlineStr">
        <is>
          <t>2025-11-25</t>
        </is>
      </c>
      <c r="C76" s="4" t="inlineStr">
        <is>
          <t>Delta</t>
        </is>
      </c>
      <c r="D76" s="4" t="inlineStr">
        <is>
          <t>Standard</t>
        </is>
      </c>
      <c r="E76" s="4" t="n">
        <v>138</v>
      </c>
      <c r="F76" s="4" t="n">
        <v>22</v>
      </c>
      <c r="G76" s="4" t="n">
        <v>960</v>
      </c>
      <c r="H76" s="4" t="inlineStr">
        <is>
          <t>RO02</t>
        </is>
      </c>
      <c r="I76" s="4" t="inlineStr">
        <is>
          <t>Delivered</t>
        </is>
      </c>
      <c r="J76" s="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2" customWidth="1" min="3" max="3"/>
    <col width="26" customWidth="1" min="4" max="4"/>
    <col width="20" customWidth="1" min="5" max="5"/>
  </cols>
  <sheetData>
    <row r="1" ht="36" customHeight="1">
      <c r="A1" s="10" t="inlineStr">
        <is>
          <t>SUMMARY STATISTICS — STARBASE MERIDIAN CARGO DATA (COMPLETE)</t>
        </is>
      </c>
    </row>
    <row r="4" ht="22" customHeight="1">
      <c r="A4" s="11" t="inlineStr">
        <is>
          <t>SECTION 1 — BASIC SUMMARY STATISTICS</t>
        </is>
      </c>
    </row>
    <row r="5" ht="24" customHeight="1">
      <c r="A5" s="12" t="inlineStr">
        <is>
          <t>Metric</t>
        </is>
      </c>
      <c r="B5" s="12" t="inlineStr">
        <is>
          <t>Formula</t>
        </is>
      </c>
      <c r="C5" s="12" t="inlineStr">
        <is>
          <t>Result</t>
        </is>
      </c>
      <c r="D5" s="12" t="inlineStr"/>
      <c r="E5" s="12" t="inlineStr">
        <is>
          <t>Notes</t>
        </is>
      </c>
    </row>
    <row r="6" ht="18" customHeight="1">
      <c r="A6" s="2" t="inlineStr">
        <is>
          <t>Total Revenue (credits)</t>
        </is>
      </c>
      <c r="B6" s="4">
        <f>SUM(Cargo_Data!G2:G76)</f>
        <v/>
      </c>
      <c r="C6" s="13" t="n">
        <v>104060</v>
      </c>
      <c r="D6" s="4" t="inlineStr"/>
      <c r="E6" s="4" t="inlineStr"/>
    </row>
    <row r="7" ht="18" customHeight="1">
      <c r="A7" s="6" t="inlineStr">
        <is>
          <t>Total Deliveries (count)</t>
        </is>
      </c>
      <c r="B7" s="8">
        <f>COUNTA(Cargo_Data!A2:A76)</f>
        <v/>
      </c>
      <c r="C7" s="13" t="n">
        <v>75</v>
      </c>
      <c r="D7" s="8" t="inlineStr"/>
      <c r="E7" s="8" t="inlineStr"/>
    </row>
    <row r="8" ht="18" customHeight="1">
      <c r="A8" s="2" t="inlineStr">
        <is>
          <t>Average Revenue per Delivery</t>
        </is>
      </c>
      <c r="B8" s="4">
        <f>AVERAGE(Cargo_Data!G2:G76)</f>
        <v/>
      </c>
      <c r="C8" s="13" t="n">
        <v>1387.47</v>
      </c>
      <c r="D8" s="4" t="inlineStr"/>
      <c r="E8" s="4" t="inlineStr">
        <is>
          <t>Format to 2dp</t>
        </is>
      </c>
    </row>
    <row r="9" ht="18" customHeight="1">
      <c r="A9" s="6" t="inlineStr">
        <is>
          <t>Minimum Revenue</t>
        </is>
      </c>
      <c r="B9" s="8">
        <f>MIN(Cargo_Data!G2:G76)</f>
        <v/>
      </c>
      <c r="C9" s="13" t="n">
        <v>340</v>
      </c>
      <c r="D9" s="8" t="inlineStr"/>
      <c r="E9" s="8" t="inlineStr"/>
    </row>
    <row r="10" ht="18" customHeight="1">
      <c r="A10" s="2" t="inlineStr">
        <is>
          <t>Maximum Revenue</t>
        </is>
      </c>
      <c r="B10" s="4">
        <f>MAX(Cargo_Data!G2:G76)</f>
        <v/>
      </c>
      <c r="C10" s="13" t="n">
        <v>4200</v>
      </c>
      <c r="D10" s="4" t="inlineStr"/>
      <c r="E10" s="4" t="inlineStr">
        <is>
          <t>Outlier: MD-021</t>
        </is>
      </c>
    </row>
    <row r="11" ht="18" customHeight="1">
      <c r="A11" s="6" t="inlineStr">
        <is>
          <t>Total Cargo Weight (kg)</t>
        </is>
      </c>
      <c r="B11" s="8">
        <f>SUM(Cargo_Data!E2:E76)</f>
        <v/>
      </c>
      <c r="C11" s="13" t="n">
        <v>14822</v>
      </c>
      <c r="D11" s="8" t="inlineStr"/>
      <c r="E11" s="8" t="inlineStr"/>
    </row>
    <row r="12" ht="18" customHeight="1">
      <c r="A12" s="2" t="inlineStr">
        <is>
          <t>Average Cargo Weight (kg)</t>
        </is>
      </c>
      <c r="B12" s="4">
        <f>AVERAGE(Cargo_Data!E2:E76)</f>
        <v/>
      </c>
      <c r="C12" s="13" t="n">
        <v>197.63</v>
      </c>
      <c r="D12" s="4" t="inlineStr"/>
      <c r="E12" s="4" t="inlineStr">
        <is>
          <t>Format to 2dp</t>
        </is>
      </c>
    </row>
    <row r="13" ht="18" customHeight="1">
      <c r="A13" s="6" t="inlineStr">
        <is>
          <t>Minimum Cargo Weight (kg)</t>
        </is>
      </c>
      <c r="B13" s="8">
        <f>MIN(Cargo_Data!E2:E76)</f>
        <v/>
      </c>
      <c r="C13" s="13" t="n">
        <v>55</v>
      </c>
      <c r="D13" s="8" t="inlineStr"/>
      <c r="E13" s="8" t="inlineStr"/>
    </row>
    <row r="14" ht="18" customHeight="1">
      <c r="A14" s="2" t="inlineStr">
        <is>
          <t>Maximum Cargo Weight (kg)</t>
        </is>
      </c>
      <c r="B14" s="4">
        <f>MAX(Cargo_Data!E2:E76)</f>
        <v/>
      </c>
      <c r="C14" s="13" t="n">
        <v>500</v>
      </c>
      <c r="D14" s="4" t="inlineStr"/>
      <c r="E14" s="4" t="inlineStr">
        <is>
          <t>Same row as outlier</t>
        </is>
      </c>
    </row>
    <row r="15" ht="18" customHeight="1">
      <c r="A15" s="6" t="inlineStr">
        <is>
          <t>Total Delivery Time (hrs)</t>
        </is>
      </c>
      <c r="B15" s="8">
        <f>SUM(Cargo_Data!F2:F76)</f>
        <v/>
      </c>
      <c r="C15" s="13" t="n">
        <v>1531</v>
      </c>
      <c r="D15" s="8" t="inlineStr"/>
      <c r="E15" s="8" t="inlineStr"/>
    </row>
    <row r="16" ht="18" customHeight="1">
      <c r="A16" s="2" t="inlineStr">
        <is>
          <t>Average Delivery Time (hrs)</t>
        </is>
      </c>
      <c r="B16" s="4">
        <f>AVERAGE(Cargo_Data!F2:F76)</f>
        <v/>
      </c>
      <c r="C16" s="13" t="n">
        <v>20.41</v>
      </c>
      <c r="D16" s="4" t="inlineStr"/>
      <c r="E16" s="4" t="inlineStr">
        <is>
          <t>Format to 2dp</t>
        </is>
      </c>
    </row>
    <row r="18" ht="22" customHeight="1">
      <c r="A18" s="11" t="inlineStr">
        <is>
          <t>SECTION 2 — COUNTIF / SUMIF / AVERAGEIF by Sector</t>
        </is>
      </c>
    </row>
    <row r="19" ht="24" customHeight="1">
      <c r="A19" s="12" t="inlineStr">
        <is>
          <t>Sector</t>
        </is>
      </c>
      <c r="B19" s="12" t="inlineStr">
        <is>
          <t>Count</t>
        </is>
      </c>
      <c r="C19" s="12" t="inlineStr">
        <is>
          <t>Total Revenue</t>
        </is>
      </c>
      <c r="D19" s="12" t="inlineStr">
        <is>
          <t>Avg Revenue</t>
        </is>
      </c>
      <c r="E19" s="12" t="inlineStr"/>
    </row>
    <row r="20" ht="18" customHeight="1">
      <c r="A20" s="2" t="inlineStr">
        <is>
          <t>Alpha</t>
        </is>
      </c>
      <c r="B20" s="13" t="n">
        <v>22</v>
      </c>
      <c r="C20" s="13" t="n">
        <v>49220</v>
      </c>
      <c r="D20" s="13" t="n">
        <v>2237.27</v>
      </c>
      <c r="E20" s="4" t="inlineStr">
        <is>
          <t>Highest — best performer</t>
        </is>
      </c>
    </row>
    <row r="21" ht="18" customHeight="1">
      <c r="A21" s="6" t="inlineStr">
        <is>
          <t>Beta</t>
        </is>
      </c>
      <c r="B21" s="13" t="n">
        <v>20</v>
      </c>
      <c r="C21" s="13" t="n">
        <v>25440</v>
      </c>
      <c r="D21" s="13" t="n">
        <v>1272</v>
      </c>
      <c r="E21" s="8" t="inlineStr"/>
    </row>
    <row r="22" ht="18" customHeight="1">
      <c r="A22" s="2" t="inlineStr">
        <is>
          <t>Gamma</t>
        </is>
      </c>
      <c r="B22" s="13" t="n">
        <v>18</v>
      </c>
      <c r="C22" s="13" t="n">
        <v>19510</v>
      </c>
      <c r="D22" s="13" t="n">
        <v>1083.89</v>
      </c>
      <c r="E22" s="4" t="inlineStr"/>
    </row>
    <row r="23" ht="18" customHeight="1">
      <c r="A23" s="6" t="inlineStr">
        <is>
          <t>Delta</t>
        </is>
      </c>
      <c r="B23" s="13" t="n">
        <v>15</v>
      </c>
      <c r="C23" s="13" t="n">
        <v>9890</v>
      </c>
      <c r="D23" s="13" t="n">
        <v>659.33</v>
      </c>
      <c r="E23" s="8" t="inlineStr">
        <is>
          <t>Lowest — weakest performer</t>
        </is>
      </c>
    </row>
    <row r="25" ht="24" customHeight="1">
      <c r="A25" s="12" t="inlineStr">
        <is>
          <t>DeliveryType</t>
        </is>
      </c>
      <c r="B25" s="12" t="inlineStr">
        <is>
          <t>Count</t>
        </is>
      </c>
      <c r="C25" s="12" t="inlineStr">
        <is>
          <t>Total Revenue</t>
        </is>
      </c>
      <c r="D25" s="12" t="inlineStr">
        <is>
          <t>Avg Revenue</t>
        </is>
      </c>
      <c r="E25" s="12" t="inlineStr"/>
    </row>
    <row r="26" ht="18" customHeight="1">
      <c r="A26" s="2" t="inlineStr">
        <is>
          <t>Express</t>
        </is>
      </c>
      <c r="B26" s="13" t="n">
        <v>24</v>
      </c>
      <c r="C26" s="13" t="n">
        <v>56750</v>
      </c>
      <c r="D26" s="13" t="n">
        <v>2364.58</v>
      </c>
      <c r="E26" s="4" t="inlineStr">
        <is>
          <t>Highest revenue per delivery</t>
        </is>
      </c>
    </row>
    <row r="27" ht="18" customHeight="1">
      <c r="A27" s="6" t="inlineStr">
        <is>
          <t>Standard</t>
        </is>
      </c>
      <c r="B27" s="13" t="n">
        <v>27</v>
      </c>
      <c r="C27" s="13" t="n">
        <v>34560</v>
      </c>
      <c r="D27" s="13" t="n">
        <v>1280</v>
      </c>
      <c r="E27" s="8" t="inlineStr">
        <is>
          <t>Most deliveries made</t>
        </is>
      </c>
    </row>
    <row r="28" ht="18" customHeight="1">
      <c r="A28" s="2" t="inlineStr">
        <is>
          <t>Economy</t>
        </is>
      </c>
      <c r="B28" s="13" t="n">
        <v>24</v>
      </c>
      <c r="C28" s="13" t="n">
        <v>12750</v>
      </c>
      <c r="D28" s="13" t="n">
        <v>531.25</v>
      </c>
      <c r="E28" s="4" t="inlineStr">
        <is>
          <t>Lowest average — weakest type</t>
        </is>
      </c>
    </row>
    <row r="30" ht="22" customHeight="1">
      <c r="A30" s="11" t="inlineStr">
        <is>
          <t>SECTION 3 — COUNTIFS / SUMIFS / AVERAGEIFS</t>
        </is>
      </c>
    </row>
    <row r="31" ht="24" customHeight="1">
      <c r="A31" s="12" t="inlineStr">
        <is>
          <t>Condition 1</t>
        </is>
      </c>
      <c r="B31" s="12" t="inlineStr">
        <is>
          <t>Condition 2</t>
        </is>
      </c>
      <c r="C31" s="12" t="inlineStr">
        <is>
          <t>Count</t>
        </is>
      </c>
      <c r="D31" s="12" t="inlineStr">
        <is>
          <t>Total Revenue</t>
        </is>
      </c>
      <c r="E31" s="12" t="inlineStr">
        <is>
          <t>Avg Revenue</t>
        </is>
      </c>
    </row>
    <row r="32" ht="18" customHeight="1">
      <c r="A32" s="2" t="inlineStr">
        <is>
          <t>Sector = Alpha</t>
        </is>
      </c>
      <c r="B32" s="2" t="inlineStr">
        <is>
          <t>DeliveryType = Express</t>
        </is>
      </c>
      <c r="C32" s="13" t="n">
        <v>15</v>
      </c>
      <c r="D32" s="13" t="n">
        <v>39900</v>
      </c>
      <c r="E32" s="13" t="n">
        <v>2660</v>
      </c>
    </row>
    <row r="33" ht="18" customHeight="1">
      <c r="A33" s="6" t="inlineStr">
        <is>
          <t>Sector = Delta</t>
        </is>
      </c>
      <c r="B33" s="6" t="inlineStr">
        <is>
          <t>DeliveryType = Economy</t>
        </is>
      </c>
      <c r="C33" s="13" t="n">
        <v>9</v>
      </c>
      <c r="D33" s="13" t="n">
        <v>3440</v>
      </c>
      <c r="E33" s="13" t="inlineStr"/>
    </row>
    <row r="34" ht="18" customHeight="1">
      <c r="A34" s="2" t="inlineStr">
        <is>
          <t>Sector = Beta</t>
        </is>
      </c>
      <c r="B34" s="2" t="inlineStr">
        <is>
          <t>Status = Delayed</t>
        </is>
      </c>
      <c r="C34" s="13" t="n">
        <v>4</v>
      </c>
      <c r="D34" s="13" t="n">
        <v>3180</v>
      </c>
      <c r="E34" s="13" t="inlineStr"/>
    </row>
    <row r="35" ht="18" customHeight="1">
      <c r="A35" s="6" t="inlineStr">
        <is>
          <t>DeliveryType = Express</t>
        </is>
      </c>
      <c r="B35" s="6" t="inlineStr">
        <is>
          <t>Status = Delivered</t>
        </is>
      </c>
      <c r="C35" s="13" t="n">
        <v>23</v>
      </c>
      <c r="D35" s="13" t="n">
        <v>54550</v>
      </c>
      <c r="E35" s="13" t="inlineStr"/>
    </row>
    <row r="37" ht="22" customHeight="1">
      <c r="A37" s="11" t="inlineStr">
        <is>
          <t>SECTION 4 — AVERAGEIFS</t>
        </is>
      </c>
    </row>
    <row r="38" ht="24" customHeight="1">
      <c r="A38" s="12" t="inlineStr">
        <is>
          <t>Condition 1</t>
        </is>
      </c>
      <c r="B38" s="12" t="inlineStr">
        <is>
          <t>Condition 2</t>
        </is>
      </c>
      <c r="C38" s="12" t="inlineStr">
        <is>
          <t>Average Revenue</t>
        </is>
      </c>
      <c r="D38" s="12" t="inlineStr"/>
      <c r="E38" s="12" t="inlineStr"/>
    </row>
    <row r="39" ht="18" customHeight="1">
      <c r="A39" s="6" t="inlineStr">
        <is>
          <t>Sector = Alpha</t>
        </is>
      </c>
      <c r="B39" s="6" t="inlineStr">
        <is>
          <t>DeliveryType = Express</t>
        </is>
      </c>
      <c r="C39" s="13" t="n">
        <v>2660</v>
      </c>
      <c r="D39" s="8" t="inlineStr"/>
      <c r="E39" s="8" t="inlineStr"/>
    </row>
    <row r="40" ht="18" customHeight="1">
      <c r="A40" s="2" t="inlineStr">
        <is>
          <t>Sector = Gamma</t>
        </is>
      </c>
      <c r="B40" s="2" t="inlineStr">
        <is>
          <t>DeliveryType = Standard</t>
        </is>
      </c>
      <c r="C40" s="13" t="n">
        <v>1235.56</v>
      </c>
      <c r="D40" s="4" t="inlineStr"/>
      <c r="E40" s="4" t="inlineStr"/>
    </row>
  </sheetData>
  <mergeCells count="5">
    <mergeCell ref="A30:E30"/>
    <mergeCell ref="A4:E4"/>
    <mergeCell ref="A1:E1"/>
    <mergeCell ref="A37:E3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2026-05-06T08:49:05Z</dcterms:created>
  <dcterms:modified xmlns:dcterms="http://purl.org/dc/terms/" xmlns:xsi="http://www.w3.org/2001/XMLSchema-instance" xsi:type="dcterms:W3CDTF">2026-05-06T08:49:06Z</dcterms:modified>
</cp:coreProperties>
</file>