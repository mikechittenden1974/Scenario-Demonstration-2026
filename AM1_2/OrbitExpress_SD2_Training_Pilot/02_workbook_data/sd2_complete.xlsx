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Data" sheetId="1" state="visible" r:id="rId3"/>
    <sheet name="Calculations" sheetId="2" state="visible" r:id="rId4"/>
    <sheet name="RouteSummary" sheetId="3" state="visible" r:id="rId5"/>
    <sheet name="MonthlySummary" sheetId="4" state="visible" r:id="rId6"/>
    <sheet name="ScatterData" sheetId="5" state="visible" r:id="rId7"/>
    <sheet name="Dashboard" sheetId="6" state="visible" r:id="rId8"/>
    <sheet name="Interpretation" sheetId="7" state="visible" r:id="rId9"/>
  </sheets>
  <definedNames>
    <definedName function="false" hidden="true" localSheetId="0" name="_xlnm._FilterDatabase" vbProcedure="false">Data!$A$2:$N$77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<sst xmlns="http://schemas.openxmlformats.org/spreadsheetml/2006/main" count="698" uniqueCount="224">
  <si>
    <t xml:space="preserve">Orbit Express Delivery Ltd — Delivery Orders (Jan–Sep 2024)</t>
  </si>
  <si>
    <t xml:space="preserve">OrderID</t>
  </si>
  <si>
    <t xml:space="preserve">OrderDate</t>
  </si>
  <si>
    <t xml:space="preserve">DeliveryRoute</t>
  </si>
  <si>
    <t xml:space="preserve">ParcelType</t>
  </si>
  <si>
    <t xml:space="preserve">CourierName</t>
  </si>
  <si>
    <t xml:space="preserve">ParcelWeight_kg</t>
  </si>
  <si>
    <t xml:space="preserve">DeliveryDistance_AU</t>
  </si>
  <si>
    <t xml:space="preserve">BaseCost_credits</t>
  </si>
  <si>
    <t xml:space="preserve">FuelSurcharge_credits</t>
  </si>
  <si>
    <t xml:space="preserve">TotalRevenue_credits</t>
  </si>
  <si>
    <t xml:space="preserve">DeliveryTime_hours</t>
  </si>
  <si>
    <t xml:space="preserve">CustomerRating</t>
  </si>
  <si>
    <t xml:space="preserve">OnTimeDelivery</t>
  </si>
  <si>
    <t xml:space="preserve">ReviewFlag</t>
  </si>
  <si>
    <t xml:space="preserve">ORB-001</t>
  </si>
  <si>
    <t xml:space="preserve">Red Dwarf Run</t>
  </si>
  <si>
    <t xml:space="preserve">Oversized</t>
  </si>
  <si>
    <t xml:space="preserve">Lyra Stardust</t>
  </si>
  <si>
    <t xml:space="preserve">Yes</t>
  </si>
  <si>
    <t xml:space="preserve">ORB-002</t>
  </si>
  <si>
    <t xml:space="preserve">Standard</t>
  </si>
  <si>
    <t xml:space="preserve">Max Quasar</t>
  </si>
  <si>
    <t xml:space="preserve">ORB-003</t>
  </si>
  <si>
    <t xml:space="preserve">Express</t>
  </si>
  <si>
    <t xml:space="preserve">ORB-004</t>
  </si>
  <si>
    <t xml:space="preserve">Nebula Dash</t>
  </si>
  <si>
    <t xml:space="preserve">Bip-9000</t>
  </si>
  <si>
    <t xml:space="preserve">No</t>
  </si>
  <si>
    <t xml:space="preserve">ORB-005</t>
  </si>
  <si>
    <t xml:space="preserve">Solar Circuit</t>
  </si>
  <si>
    <t xml:space="preserve">ORB-006</t>
  </si>
  <si>
    <t xml:space="preserve">Fragile</t>
  </si>
  <si>
    <t xml:space="preserve">Zara Comet</t>
  </si>
  <si>
    <t xml:space="preserve">ORB-007</t>
  </si>
  <si>
    <t xml:space="preserve">Asteroid Express</t>
  </si>
  <si>
    <t xml:space="preserve">ORB-008</t>
  </si>
  <si>
    <t xml:space="preserve">ORB-009</t>
  </si>
  <si>
    <t xml:space="preserve">ORB-010</t>
  </si>
  <si>
    <t xml:space="preserve">ORB-011</t>
  </si>
  <si>
    <t xml:space="preserve">Blue Giant Loop</t>
  </si>
  <si>
    <t xml:space="preserve">Hazardous</t>
  </si>
  <si>
    <t xml:space="preserve">ORB-012</t>
  </si>
  <si>
    <t xml:space="preserve">ORB-013</t>
  </si>
  <si>
    <t xml:space="preserve">ORB-014</t>
  </si>
  <si>
    <t xml:space="preserve">ORB-015</t>
  </si>
  <si>
    <t xml:space="preserve">ORB-016</t>
  </si>
  <si>
    <t xml:space="preserve">ORB-017</t>
  </si>
  <si>
    <t xml:space="preserve">ORB-018</t>
  </si>
  <si>
    <t xml:space="preserve">ORB-019</t>
  </si>
  <si>
    <t xml:space="preserve">ORB-020</t>
  </si>
  <si>
    <t xml:space="preserve">ORB-021</t>
  </si>
  <si>
    <t xml:space="preserve">ORB-022</t>
  </si>
  <si>
    <t xml:space="preserve">ORB-023</t>
  </si>
  <si>
    <t xml:space="preserve">ORB-024</t>
  </si>
  <si>
    <t xml:space="preserve">ORB-025</t>
  </si>
  <si>
    <t xml:space="preserve">ORB-026</t>
  </si>
  <si>
    <t xml:space="preserve">ORB-027</t>
  </si>
  <si>
    <t xml:space="preserve">ORB-028</t>
  </si>
  <si>
    <t xml:space="preserve">ORB-029</t>
  </si>
  <si>
    <t xml:space="preserve">ORB-030</t>
  </si>
  <si>
    <t xml:space="preserve">ORB-031</t>
  </si>
  <si>
    <t xml:space="preserve">ORB-032</t>
  </si>
  <si>
    <t xml:space="preserve">ORB-033</t>
  </si>
  <si>
    <t xml:space="preserve">ORB-034</t>
  </si>
  <si>
    <t xml:space="preserve">ORB-035</t>
  </si>
  <si>
    <t xml:space="preserve">ORB-036</t>
  </si>
  <si>
    <t xml:space="preserve">ORB-037</t>
  </si>
  <si>
    <t xml:space="preserve">ORB-038</t>
  </si>
  <si>
    <t xml:space="preserve">ORB-039</t>
  </si>
  <si>
    <t xml:space="preserve">ORB-040</t>
  </si>
  <si>
    <t xml:space="preserve">ORB-041</t>
  </si>
  <si>
    <t xml:space="preserve">ORB-042</t>
  </si>
  <si>
    <t xml:space="preserve">ORB-043</t>
  </si>
  <si>
    <t xml:space="preserve">ORB-044</t>
  </si>
  <si>
    <t xml:space="preserve">ORB-045</t>
  </si>
  <si>
    <t xml:space="preserve">ORB-046</t>
  </si>
  <si>
    <t xml:space="preserve">ORB-047</t>
  </si>
  <si>
    <t xml:space="preserve">ORB-048</t>
  </si>
  <si>
    <t xml:space="preserve">ORB-049</t>
  </si>
  <si>
    <t xml:space="preserve">ORB-050</t>
  </si>
  <si>
    <t xml:space="preserve">ORB-051</t>
  </si>
  <si>
    <t xml:space="preserve">ORB-052</t>
  </si>
  <si>
    <t xml:space="preserve">ORB-053</t>
  </si>
  <si>
    <t xml:space="preserve">ORB-054</t>
  </si>
  <si>
    <t xml:space="preserve">ORB-055</t>
  </si>
  <si>
    <t xml:space="preserve">ORB-056</t>
  </si>
  <si>
    <t xml:space="preserve">ORB-057</t>
  </si>
  <si>
    <t xml:space="preserve">ORB-058</t>
  </si>
  <si>
    <t xml:space="preserve">ORB-059</t>
  </si>
  <si>
    <t xml:space="preserve">ORB-060</t>
  </si>
  <si>
    <t xml:space="preserve">ORB-061</t>
  </si>
  <si>
    <t xml:space="preserve">ORB-062</t>
  </si>
  <si>
    <t xml:space="preserve">ORB-063</t>
  </si>
  <si>
    <t xml:space="preserve">ORB-064</t>
  </si>
  <si>
    <t xml:space="preserve">ORB-065</t>
  </si>
  <si>
    <t xml:space="preserve">ORB-066</t>
  </si>
  <si>
    <t xml:space="preserve">ORB-067</t>
  </si>
  <si>
    <t xml:space="preserve">ORB-068</t>
  </si>
  <si>
    <t xml:space="preserve">ORB-069</t>
  </si>
  <si>
    <t xml:space="preserve">ORB-070</t>
  </si>
  <si>
    <t xml:space="preserve">ORB-071</t>
  </si>
  <si>
    <t xml:space="preserve">ORB-072</t>
  </si>
  <si>
    <t xml:space="preserve">ORB-073</t>
  </si>
  <si>
    <t xml:space="preserve">ORB-074</t>
  </si>
  <si>
    <t xml:space="preserve">ORB-075</t>
  </si>
  <si>
    <t xml:space="preserve">Orbit Express — Summary Calculations (COMPLETED)</t>
  </si>
  <si>
    <t xml:space="preserve">Formulas completed. Check that your values match the ones shown here.</t>
  </si>
  <si>
    <t xml:space="preserve">SECTION 1 — Summary Statistics</t>
  </si>
  <si>
    <t xml:space="preserve">Total Revenue (all orders)</t>
  </si>
  <si>
    <t xml:space="preserve">What is the total revenue across all 75 orders?</t>
  </si>
  <si>
    <t xml:space="preserve">Order Count</t>
  </si>
  <si>
    <t xml:space="preserve">How many orders are in the dataset?</t>
  </si>
  <si>
    <t xml:space="preserve">Average Customer Rating</t>
  </si>
  <si>
    <t xml:space="preserve">What is the average customer rating?</t>
  </si>
  <si>
    <t xml:space="preserve">Minimum Order Revenue</t>
  </si>
  <si>
    <t xml:space="preserve">What is the lowest revenue earned on one order?</t>
  </si>
  <si>
    <t xml:space="preserve">Maximum Order Revenue</t>
  </si>
  <si>
    <t xml:space="preserve">What is the highest revenue earned on one order?</t>
  </si>
  <si>
    <t xml:space="preserve">SECTION 2 — Single-Condition Formulas</t>
  </si>
  <si>
    <t xml:space="preserve">Nebula Dash — Order Count</t>
  </si>
  <si>
    <t xml:space="preserve">How many orders used Nebula Dash?</t>
  </si>
  <si>
    <t xml:space="preserve">Nebula Dash — Total Revenue</t>
  </si>
  <si>
    <t xml:space="preserve">Total revenue from Nebula Dash.</t>
  </si>
  <si>
    <t xml:space="preserve">Nebula Dash — Avg Rating</t>
  </si>
  <si>
    <t xml:space="preserve">Average rating for Nebula Dash.</t>
  </si>
  <si>
    <t xml:space="preserve">Express — Order Count</t>
  </si>
  <si>
    <t xml:space="preserve">How many Express parcels?</t>
  </si>
  <si>
    <t xml:space="preserve">Express — Total Revenue</t>
  </si>
  <si>
    <t xml:space="preserve">Total revenue from Express parcels.</t>
  </si>
  <si>
    <t xml:space="preserve">Asteroid Express — Avg Rating</t>
  </si>
  <si>
    <t xml:space="preserve">Avg rating on Asteroid Express.</t>
  </si>
  <si>
    <t xml:space="preserve">SECTION 3 — Multi-Condition Formulas</t>
  </si>
  <si>
    <t xml:space="preserve">Express + On Time — Count</t>
  </si>
  <si>
    <t xml:space="preserve">Express and on time count.</t>
  </si>
  <si>
    <t xml:space="preserve">Express + On Time — Revenue</t>
  </si>
  <si>
    <t xml:space="preserve">Revenue from on-time Express.</t>
  </si>
  <si>
    <t xml:space="preserve">Express + On Time — Avg Rating</t>
  </si>
  <si>
    <t xml:space="preserve">Avg rating for on-time Express.</t>
  </si>
  <si>
    <t xml:space="preserve">Nebula Dash + On Time — Count</t>
  </si>
  <si>
    <t xml:space="preserve">On-time Nebula Dash orders.</t>
  </si>
  <si>
    <t xml:space="preserve">Nebula Dash + On Time — Revenue</t>
  </si>
  <si>
    <t xml:space="preserve">Revenue from on-time Nebula Dash.</t>
  </si>
  <si>
    <t xml:space="preserve">Asteroid Express + Late — Count</t>
  </si>
  <si>
    <t xml:space="preserve">Late Asteroid Express deliveries.</t>
  </si>
  <si>
    <t xml:space="preserve">SECTION 4 — IF Review Flag</t>
  </si>
  <si>
    <t xml:space="preserve">ReviewFlag (in Data!N3, copied to N4:N77)</t>
  </si>
  <si>
    <t xml:space="preserve">Flag any order where CustomerRating &lt; 3.5 as "Review"</t>
  </si>
  <si>
    <t xml:space="preserve">Route Summary Table</t>
  </si>
  <si>
    <t xml:space="preserve">This table summarises key metrics by delivery route. Use it alongside your Pivot Table.</t>
  </si>
  <si>
    <t xml:space="preserve">OrderCount</t>
  </si>
  <si>
    <t xml:space="preserve">AvgRating</t>
  </si>
  <si>
    <t xml:space="preserve">OnTimeCount</t>
  </si>
  <si>
    <t xml:space="preserve">Monthly Order &amp; Revenue Summary</t>
  </si>
  <si>
    <t xml:space="preserve">Use this table alongside your Timeline to spot seasonal patterns.</t>
  </si>
  <si>
    <t xml:space="preserve">Month</t>
  </si>
  <si>
    <t xml:space="preserve">AvgRevenue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</si>
  <si>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</si>
  <si>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</si>
  <si>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</si>
  <si>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</si>
  <si>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</si>
  <si>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</si>
  <si>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</si>
  <si>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</si>
  <si>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</si>
  <si>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Scatter Chart Data — ParcelWeight_kg vs TotalRevenue_credits</t>
  </si>
  <si>
    <t xml:space="preserve">Use this data to build your scatter chart. Select A3:B78, insert a Scatter chart, then add a trendline.</t>
  </si>
  <si>
    <t xml:space="preserve">Trendline Summary</t>
  </si>
  <si>
    <t xml:space="preserve">Equation (approx.)</t>
  </si>
  <si>
    <t xml:space="preserve">y = 11.8x + 188</t>
  </si>
  <si>
    <t xml:space="preserve">Revenue increases ~11.8 credits per kg</t>
  </si>
  <si>
    <t xml:space="preserve">R² value (approx.)</t>
  </si>
  <si>
    <t xml:space="preserve">0.76</t>
  </si>
  <si>
    <t xml:space="preserve">Strong positive relationship</t>
  </si>
  <si>
    <t xml:space="preserve">Slope interpretation</t>
  </si>
  <si>
    <t xml:space="preserve">Positive</t>
  </si>
  <si>
    <t xml:space="preserve">Heavier parcels cost more</t>
  </si>
  <si>
    <t xml:space="preserve">Confidence level</t>
  </si>
  <si>
    <t xml:space="preserve">Moderate-High</t>
  </si>
  <si>
    <t xml:space="preserve">R² of 0.76 indicates a good fit</t>
  </si>
  <si>
    <t xml:space="preserve">Limitation</t>
  </si>
  <si>
    <t xml:space="preserve">Not causal</t>
  </si>
  <si>
    <t xml:space="preserve">Other factors also affect revenue</t>
  </si>
  <si>
    <t xml:space="preserve">ORBIT EXPRESS DELIVERY LTD — OPERATIONS DASHBOARD</t>
  </si>
  <si>
    <t xml:space="preserve">Jan–Sep 2024   |   Data: 01_source_data/sd2_start.xlsx</t>
  </si>
  <si>
    <t xml:space="preserve">TOTAL REVENUE</t>
  </si>
  <si>
    <t xml:space="preserve">TOTAL ORDERS</t>
  </si>
  <si>
    <t xml:space="preserve">AVG RATING</t>
  </si>
  <si>
    <t xml:space="preserve">ON-TIME RATE</t>
  </si>
  <si>
    <t xml:space="preserve">BEST ROUTE: Nebula Dash   |   MOST REVIEWS NEEDED: Asteroid Express   |   TOP COURIER: Bip-9000</t>
  </si>
  <si>
    <t xml:space="preserve">Revenue by Route</t>
  </si>
  <si>
    <t xml:space="preserve">Avg Rating by Courier</t>
  </si>
  <si>
    <t xml:space="preserve">Route</t>
  </si>
  <si>
    <t xml:space="preserve">Revenue (credits)</t>
  </si>
  <si>
    <t xml:space="preserve">Courier</t>
  </si>
  <si>
    <t xml:space="preserve">Avg Rating</t>
  </si>
  <si>
    <t xml:space="preserve">INTERPRETATION: Nebula Dash is the highest-revenue route. Asteroid Express generates the least revenue and has the lowest on-time rate. Bip-9000 has the highest average customer rating. Revenue spikes in Q3 (Jul-Sep 2024). Positive weight-to-revenue relationship confirmed. See ScatterData sheet. Limitation: 9 months of data only.</t>
  </si>
  <si>
    <t xml:space="preserve">Interpretation — What the Data Shows</t>
  </si>
  <si>
    <t xml:space="preserve">WHAT THE DATA SHOWS</t>
  </si>
  <si>
    <t xml:space="preserve">•</t>
  </si>
  <si>
    <t xml:space="preserve">Nebula Dash is the highest-revenue route, generating the most total credits across the dataset.</t>
  </si>
  <si>
    <t xml:space="preserve">Asteroid Express is the lowest-revenue route, with the fewest orders and lowest average revenue.</t>
  </si>
  <si>
    <t xml:space="preserve">Orders and revenue are noticeably higher in Q3 (July, August, September 2024) compared to Q1 and Q2.</t>
  </si>
  <si>
    <t xml:space="preserve">Bip-9000 has the highest average customer rating of all four couriers.</t>
  </si>
  <si>
    <t xml:space="preserve">Orders with OnTimeDelivery = No consistently have lower CustomerRating values.</t>
  </si>
  <si>
    <t xml:space="preserve">WHAT THE DATA SUGGESTS</t>
  </si>
  <si>
    <t xml:space="preserve">There is a positive relationship between ParcelWeight_kg and TotalRevenue_credits.</t>
  </si>
  <si>
    <t xml:space="preserve">Heavier parcels tend to generate more revenue. The scatter chart trendline is upward-sloping.</t>
  </si>
  <si>
    <t xml:space="preserve">Express parcels appear concentrated on the Nebula Dash route, possibly driving its higher revenue.</t>
  </si>
  <si>
    <t xml:space="preserve">Asteroid Express may be underperforming due to a combination of low route demand and late deliveries.</t>
  </si>
  <si>
    <t xml:space="preserve">WHAT THE DATA DOES NOT PROVE</t>
  </si>
  <si>
    <t xml:space="preserve">The dataset does not prove that weight causes higher revenue. Route pricing and parcel type also affect the total.</t>
  </si>
  <si>
    <t xml:space="preserve">The dataset does not prove that Q3 growth will continue. Only 9 months of data are available.</t>
  </si>
  <si>
    <t xml:space="preserve">The dataset does not explain why Asteroid Express has more late deliveries. Distance, weather, or other factors may apply.</t>
  </si>
  <si>
    <t xml:space="preserve">The dataset does not show customer demographics or repeat purchase behaviour.</t>
  </si>
  <si>
    <t xml:space="preserve">RECOMMENDATION</t>
  </si>
  <si>
    <t xml:space="preserve">Prioritise investment in the Nebula Dash route to grow the highest-revenue channel.</t>
  </si>
  <si>
    <t xml:space="preserve">Investigate late delivery causes on the Asteroid Express route to protect customer ratings.</t>
  </si>
  <si>
    <t xml:space="preserve">Consider whether Asteroid Express is worth running at current volumes and revenue levels.</t>
  </si>
  <si>
    <t xml:space="preserve">LIMITATION / CONFIDENCE NOTE</t>
  </si>
  <si>
    <t xml:space="preserve">This analysis is based on 75 orders across 9 months. The sample is small.</t>
  </si>
  <si>
    <t xml:space="preserve">The R² value of approximately 0.76 suggests weight is a reasonable predictor of revenue, but not perfect.</t>
  </si>
  <si>
    <t xml:space="preserve">Confidence would increase with a full 12-month dataset, larger sample, and additional customer data.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</si>
</sst>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0.0"/>
    <numFmt numFmtId="167" formatCode="#,##0"/>
    <numFmt numFmtId="168" formatCode="0"/>
    <numFmt numFmtId="169" formatCode="0.00"/>
    <numFmt numFmtId="170" formatCode="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375623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2E75B6"/>
      <name val="Arial"/>
      <family val="0"/>
      <charset val="1"/>
    </font>
    <font>
      <b val="true"/>
      <sz val="16"/>
      <color rgb="FFED7D31"/>
      <name val="Arial"/>
      <family val="0"/>
      <charset val="1"/>
    </font>
    <font>
      <b val="true"/>
      <sz val="16"/>
      <color rgb="FF375623"/>
      <name val="Arial"/>
      <family val="0"/>
      <charset val="1"/>
    </font>
    <font>
      <b val="true"/>
      <sz val="16"/>
      <color rgb="FF7030A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1"/>
      <color rgb="FFED7D31"/>
      <name val="Arial"/>
      <family val="0"/>
      <charset val="1"/>
    </font>
    <font>
      <b val="true"/>
      <sz val="11"/>
      <color rgb="FF7030A0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1"/>
      <color rgb="FF843C0C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FFFC7"/>
        <bgColor rgb="FFFFFF99"/>
      </patternFill>
    </fill>
    <fill>
      <patternFill patternType="solid">
        <fgColor rgb="FFF2F2F2"/>
        <bgColor rgb="FFE2EFDA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ED7D31"/>
        <bgColor rgb="FFFF8080"/>
      </patternFill>
    </fill>
    <fill>
      <patternFill patternType="solid">
        <fgColor rgb="FF375623"/>
        <bgColor rgb="FF555555"/>
      </patternFill>
    </fill>
    <fill>
      <patternFill patternType="solid">
        <fgColor rgb="FF7030A0"/>
        <bgColor rgb="FF993366"/>
      </patternFill>
    </fill>
    <fill>
      <patternFill patternType="solid">
        <fgColor rgb="FFBDD7EE"/>
        <bgColor rgb="FFCCCCCC"/>
      </patternFill>
    </fill>
    <fill>
      <patternFill patternType="solid">
        <fgColor rgb="FF843C0C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6">
    <dxf>
      <fill>
        <patternFill patternType="solid">
          <fgColor rgb="FF2E75B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4F3C1"/>
          <bgColor rgb="FF000000"/>
        </patternFill>
      </fill>
    </dxf>
    <dxf>
      <fill>
        <patternFill patternType="solid">
          <fgColor rgb="FFD7F4BE"/>
          <bgColor rgb="FF000000"/>
        </patternFill>
      </fill>
    </dxf>
    <dxf>
      <fill>
        <patternFill patternType="solid">
          <fgColor rgb="FFD8F4BD"/>
          <bgColor rgb="FF000000"/>
        </patternFill>
      </fill>
    </dxf>
    <dxf>
      <fill>
        <patternFill patternType="solid">
          <fgColor rgb="FFD8F4BE"/>
          <bgColor rgb="FF000000"/>
        </patternFill>
      </fill>
    </dxf>
    <dxf>
      <fill>
        <patternFill patternType="solid">
          <fgColor rgb="FFD8F5BD"/>
          <bgColor rgb="FF000000"/>
        </patternFill>
      </fill>
    </dxf>
    <dxf>
      <fill>
        <patternFill patternType="solid">
          <fgColor rgb="FFDBF5BA"/>
          <bgColor rgb="FF000000"/>
        </patternFill>
      </fill>
    </dxf>
    <dxf>
      <fill>
        <patternFill patternType="solid">
          <fgColor rgb="FFDEF6B8"/>
          <bgColor rgb="FF000000"/>
        </patternFill>
      </fill>
    </dxf>
    <dxf>
      <fill>
        <patternFill patternType="solid">
          <fgColor rgb="FFE5F8B1"/>
          <bgColor rgb="FF000000"/>
        </patternFill>
      </fill>
    </dxf>
    <dxf>
      <fill>
        <patternFill patternType="solid">
          <fgColor rgb="FFE6F8B1"/>
          <bgColor rgb="FF000000"/>
        </patternFill>
      </fill>
    </dxf>
    <dxf>
      <fill>
        <patternFill patternType="solid">
          <fgColor rgb="FFE8F9AE"/>
          <bgColor rgb="FF000000"/>
        </patternFill>
      </fill>
    </dxf>
    <dxf>
      <fill>
        <patternFill patternType="solid">
          <fgColor rgb="FFEAF9AD"/>
          <bgColor rgb="FF000000"/>
        </patternFill>
      </fill>
    </dxf>
    <dxf>
      <fill>
        <patternFill patternType="solid">
          <fgColor rgb="FFEAFAAC"/>
          <bgColor rgb="FF000000"/>
        </patternFill>
      </fill>
    </dxf>
    <dxf>
      <fill>
        <patternFill patternType="solid">
          <fgColor rgb="FFEBFAAB"/>
          <bgColor rgb="FF000000"/>
        </patternFill>
      </fill>
    </dxf>
    <dxf>
      <fill>
        <patternFill patternType="solid">
          <fgColor rgb="FFEBFAAC"/>
          <bgColor rgb="FF000000"/>
        </patternFill>
      </fill>
    </dxf>
    <dxf>
      <fill>
        <patternFill patternType="solid">
          <fgColor rgb="FFECFAAB"/>
          <bgColor rgb="FF000000"/>
        </patternFill>
      </fill>
    </dxf>
    <dxf>
      <fill>
        <patternFill patternType="solid">
          <fgColor rgb="FFEDFAAA"/>
          <bgColor rgb="FF000000"/>
        </patternFill>
      </fill>
    </dxf>
    <dxf>
      <fill>
        <patternFill patternType="solid">
          <fgColor rgb="FFEEFBA9"/>
          <bgColor rgb="FF000000"/>
        </patternFill>
      </fill>
    </dxf>
    <dxf>
      <fill>
        <patternFill patternType="solid">
          <fgColor rgb="FFF1FBA6"/>
          <bgColor rgb="FF000000"/>
        </patternFill>
      </fill>
    </dxf>
    <dxf>
      <fill>
        <patternFill patternType="solid">
          <fgColor rgb="FFF2FCA5"/>
          <bgColor rgb="FF000000"/>
        </patternFill>
      </fill>
    </dxf>
    <dxf>
      <fill>
        <patternFill patternType="solid">
          <fgColor rgb="FFF3FCA4"/>
          <bgColor rgb="FF000000"/>
        </patternFill>
      </fill>
    </dxf>
    <dxf>
      <fill>
        <patternFill patternType="solid">
          <fgColor rgb="FFF4FCA3"/>
          <bgColor rgb="FF000000"/>
        </patternFill>
      </fill>
    </dxf>
    <dxf>
      <fill>
        <patternFill patternType="solid">
          <fgColor rgb="FFF6FDA1"/>
          <bgColor rgb="FF000000"/>
        </patternFill>
      </fill>
    </dxf>
    <dxf>
      <fill>
        <patternFill patternType="solid">
          <fgColor rgb="FFF7FDA0"/>
          <bgColor rgb="FF000000"/>
        </patternFill>
      </fill>
    </dxf>
    <dxf>
      <fill>
        <patternFill patternType="solid">
          <fgColor rgb="FFF7FDA1"/>
          <bgColor rgb="FF000000"/>
        </patternFill>
      </fill>
    </dxf>
    <dxf>
      <fill>
        <patternFill patternType="solid">
          <fgColor rgb="FFF8FD9F"/>
          <bgColor rgb="FF000000"/>
        </patternFill>
      </fill>
    </dxf>
    <dxf>
      <fill>
        <patternFill patternType="solid">
          <fgColor rgb="FFF9FE9F"/>
          <bgColor rgb="FF000000"/>
        </patternFill>
      </fill>
    </dxf>
    <dxf>
      <fill>
        <patternFill patternType="solid">
          <fgColor rgb="FFFAFE9D"/>
          <bgColor rgb="FF000000"/>
        </patternFill>
      </fill>
    </dxf>
    <dxf>
      <fill>
        <patternFill patternType="solid">
          <fgColor rgb="FFFBFE9C"/>
          <bgColor rgb="FF000000"/>
        </patternFill>
      </fill>
    </dxf>
    <dxf>
      <fill>
        <patternFill patternType="solid">
          <fgColor rgb="FFFBFE9D"/>
          <bgColor rgb="FF000000"/>
        </patternFill>
      </fill>
    </dxf>
    <dxf>
      <fill>
        <patternFill patternType="solid">
          <fgColor rgb="FFFCFE9C"/>
          <bgColor rgb="FF000000"/>
        </patternFill>
      </fill>
    </dxf>
    <dxf>
      <fill>
        <patternFill patternType="solid">
          <fgColor rgb="FFFCFF9C"/>
          <bgColor rgb="FF000000"/>
        </patternFill>
      </fill>
    </dxf>
    <dxf>
      <fill>
        <patternFill patternType="solid">
          <fgColor rgb="FFFEFF99"/>
          <bgColor rgb="FF000000"/>
        </patternFill>
      </fill>
    </dxf>
    <dxf>
      <fill>
        <patternFill patternType="solid">
          <fgColor rgb="FFFFE0E0"/>
          <bgColor rgb="FF000000"/>
        </patternFill>
      </fill>
    </dxf>
    <dxf>
      <fill>
        <patternFill patternType="solid">
          <fgColor rgb="FFFFE4D5"/>
          <bgColor rgb="FF000000"/>
        </patternFill>
      </fill>
    </dxf>
    <dxf>
      <fill>
        <patternFill patternType="solid">
          <fgColor rgb="FFFFE5D5"/>
          <bgColor rgb="FF000000"/>
        </patternFill>
      </fill>
    </dxf>
    <dxf>
      <fill>
        <patternFill patternType="solid">
          <fgColor rgb="FFFFE8CC"/>
          <bgColor rgb="FF000000"/>
        </patternFill>
      </fill>
    </dxf>
    <dxf>
      <fill>
        <patternFill patternType="solid">
          <fgColor rgb="FFFFEAC8"/>
          <bgColor rgb="FF000000"/>
        </patternFill>
      </fill>
    </dxf>
    <dxf>
      <fill>
        <patternFill patternType="solid">
          <fgColor rgb="FFFFEBC7"/>
          <bgColor rgb="FF000000"/>
        </patternFill>
      </fill>
    </dxf>
    <dxf>
      <fill>
        <patternFill patternType="solid">
          <fgColor rgb="FFFFECC3"/>
          <bgColor rgb="FF000000"/>
        </patternFill>
      </fill>
    </dxf>
    <dxf>
      <fill>
        <patternFill patternType="solid">
          <fgColor rgb="FFFFEDC2"/>
          <bgColor rgb="FF000000"/>
        </patternFill>
      </fill>
    </dxf>
    <dxf>
      <fill>
        <patternFill patternType="solid">
          <fgColor rgb="FFFFEEBF"/>
          <bgColor rgb="FF000000"/>
        </patternFill>
      </fill>
    </dxf>
    <dxf>
      <fill>
        <patternFill patternType="solid">
          <fgColor rgb="FFFFEFBD"/>
          <bgColor rgb="FF000000"/>
        </patternFill>
      </fill>
    </dxf>
    <dxf>
      <fill>
        <patternFill patternType="solid">
          <fgColor rgb="FFFFF1B8"/>
          <bgColor rgb="FF000000"/>
        </patternFill>
      </fill>
    </dxf>
    <dxf>
      <fill>
        <patternFill patternType="solid">
          <fgColor rgb="FFFFF1B9"/>
          <bgColor rgb="FF000000"/>
        </patternFill>
      </fill>
    </dxf>
    <dxf>
      <fill>
        <patternFill patternType="solid">
          <fgColor rgb="FFFFF2B6"/>
          <bgColor rgb="FF000000"/>
        </patternFill>
      </fill>
    </dxf>
    <dxf>
      <fill>
        <patternFill patternType="solid">
          <fgColor rgb="FFFFF3B3"/>
          <bgColor rgb="FF000000"/>
        </patternFill>
      </fill>
    </dxf>
    <dxf>
      <fill>
        <patternFill patternType="solid">
          <fgColor rgb="FFFFF3B5"/>
          <bgColor rgb="FF000000"/>
        </patternFill>
      </fill>
    </dxf>
    <dxf>
      <fill>
        <patternFill patternType="solid">
          <fgColor rgb="FFFFF4B1"/>
          <bgColor rgb="FF000000"/>
        </patternFill>
      </fill>
    </dxf>
    <dxf>
      <fill>
        <patternFill patternType="solid">
          <fgColor rgb="FFFFF5AF"/>
          <bgColor rgb="FF000000"/>
        </patternFill>
      </fill>
    </dxf>
    <dxf>
      <fill>
        <patternFill patternType="solid">
          <fgColor rgb="FFFFF6AC"/>
          <bgColor rgb="FF000000"/>
        </patternFill>
      </fill>
    </dxf>
    <dxf>
      <fill>
        <patternFill patternType="solid">
          <fgColor rgb="FFFFF6AD"/>
          <bgColor rgb="FF000000"/>
        </patternFill>
      </fill>
    </dxf>
    <dxf>
      <fill>
        <patternFill patternType="solid">
          <fgColor rgb="FFFFF7AA"/>
          <bgColor rgb="FF000000"/>
        </patternFill>
      </fill>
    </dxf>
    <dxf>
      <fill>
        <patternFill patternType="solid">
          <fgColor rgb="FFFFF8A8"/>
          <bgColor rgb="FF000000"/>
        </patternFill>
      </fill>
    </dxf>
    <dxf>
      <fill>
        <patternFill patternType="solid">
          <fgColor rgb="FFFFF9A6"/>
          <bgColor rgb="FF000000"/>
        </patternFill>
      </fill>
    </dxf>
    <dxf>
      <fill>
        <patternFill patternType="solid">
          <fgColor rgb="FFFFF9A7"/>
          <bgColor rgb="FF000000"/>
        </patternFill>
      </fill>
    </dxf>
    <dxf>
      <fill>
        <patternFill patternType="solid">
          <fgColor rgb="FFFFFAA5"/>
          <bgColor rgb="FF000000"/>
        </patternFill>
      </fill>
    </dxf>
    <dxf>
      <fill>
        <patternFill patternType="solid">
          <fgColor rgb="FFFFFCA0"/>
          <bgColor rgb="FF000000"/>
        </patternFill>
      </fill>
    </dxf>
    <dxf>
      <fill>
        <patternFill patternType="solid">
          <fgColor rgb="FFFFFE9A"/>
          <bgColor rgb="FF000000"/>
        </patternFill>
      </fill>
    </dxf>
    <dxf>
      <fill>
        <patternFill patternType="solid">
          <fgColor rgb="FFFFFE9B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FFFFC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FFFC7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555555"/>
      <rgbColor rgb="FF969696"/>
      <rgbColor rgb="FF1F3864"/>
      <rgbColor rgb="FF339966"/>
      <rgbColor rgb="FF003300"/>
      <rgbColor rgb="FF375623"/>
      <rgbColor rgb="FF843C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3"/>
    <col collapsed="false" customWidth="true" hidden="false" outlineLevel="0" max="3" min="3" style="1" width="18"/>
    <col collapsed="false" customWidth="true" hidden="false" outlineLevel="0" max="4" min="4" style="1" width="13"/>
    <col collapsed="false" customWidth="true" hidden="false" outlineLevel="0" max="5" min="5" style="1" width="14"/>
    <col collapsed="false" customWidth="true" hidden="false" outlineLevel="0" max="6" min="6" style="1" width="17"/>
    <col collapsed="false" customWidth="true" hidden="false" outlineLevel="0" max="7" min="7" style="1" width="20"/>
    <col collapsed="false" customWidth="true" hidden="false" outlineLevel="0" max="8" min="8" style="1" width="17"/>
    <col collapsed="false" customWidth="true" hidden="false" outlineLevel="0" max="9" min="9" style="1" width="21"/>
    <col collapsed="false" customWidth="true" hidden="false" outlineLevel="0" max="10" min="10" style="1" width="20"/>
    <col collapsed="false" customWidth="true" hidden="false" outlineLevel="0" max="11" min="11" style="1" width="18"/>
    <col collapsed="false" customWidth="true" hidden="false" outlineLevel="0" max="13" min="12" style="1" width="15"/>
    <col collapsed="false" customWidth="true" hidden="false" outlineLevel="0" max="14" min="14" style="1" width="13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1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customFormat="false" ht="15" hidden="false" customHeight="true" outlineLevel="0" collapsed="false">
      <c r="A3" s="4" t="s">
        <v>15</v>
      </c>
      <c r="B3" s="5" t="n">
        <v>45292</v>
      </c>
      <c r="C3" s="4" t="s">
        <v>16</v>
      </c>
      <c r="D3" s="4" t="s">
        <v>17</v>
      </c>
      <c r="E3" s="4" t="s">
        <v>18</v>
      </c>
      <c r="F3" s="6" t="n">
        <v>0.6</v>
      </c>
      <c r="G3" s="6" t="n">
        <v>54</v>
      </c>
      <c r="H3" s="7" t="n">
        <v>80</v>
      </c>
      <c r="I3" s="7" t="n">
        <v>103</v>
      </c>
      <c r="J3" s="7" t="n">
        <v>183</v>
      </c>
      <c r="K3" s="6" t="n">
        <v>13.7</v>
      </c>
      <c r="L3" s="6" t="n">
        <v>3.7</v>
      </c>
      <c r="M3" s="4" t="s">
        <v>19</v>
      </c>
      <c r="N3" s="8" t="str">
        <f aca="false">IF(L3&lt;3.5,"Review","OK")</f>
        <v>OK</v>
      </c>
    </row>
    <row r="4" customFormat="false" ht="15" hidden="false" customHeight="true" outlineLevel="0" collapsed="false">
      <c r="A4" s="9" t="s">
        <v>20</v>
      </c>
      <c r="B4" s="10" t="n">
        <v>45295</v>
      </c>
      <c r="C4" s="9" t="s">
        <v>16</v>
      </c>
      <c r="D4" s="9" t="s">
        <v>21</v>
      </c>
      <c r="E4" s="9" t="s">
        <v>22</v>
      </c>
      <c r="F4" s="11" t="n">
        <v>20.6</v>
      </c>
      <c r="G4" s="11" t="n">
        <v>65</v>
      </c>
      <c r="H4" s="12" t="n">
        <v>256</v>
      </c>
      <c r="I4" s="12" t="n">
        <v>52</v>
      </c>
      <c r="J4" s="12" t="n">
        <v>308</v>
      </c>
      <c r="K4" s="11" t="n">
        <v>17.3</v>
      </c>
      <c r="L4" s="11" t="n">
        <v>3.6</v>
      </c>
      <c r="M4" s="9" t="s">
        <v>19</v>
      </c>
      <c r="N4" s="8" t="str">
        <f aca="false">IF(L4&lt;3.5,"Review","OK")</f>
        <v>OK</v>
      </c>
    </row>
    <row r="5" customFormat="false" ht="15" hidden="false" customHeight="true" outlineLevel="0" collapsed="false">
      <c r="A5" s="4" t="s">
        <v>23</v>
      </c>
      <c r="B5" s="5" t="n">
        <v>45299</v>
      </c>
      <c r="C5" s="4" t="s">
        <v>16</v>
      </c>
      <c r="D5" s="4" t="s">
        <v>24</v>
      </c>
      <c r="E5" s="4" t="s">
        <v>22</v>
      </c>
      <c r="F5" s="6" t="n">
        <v>10.8</v>
      </c>
      <c r="G5" s="6" t="n">
        <v>33</v>
      </c>
      <c r="H5" s="7" t="n">
        <v>164</v>
      </c>
      <c r="I5" s="7" t="n">
        <v>106</v>
      </c>
      <c r="J5" s="7" t="n">
        <v>270</v>
      </c>
      <c r="K5" s="6" t="n">
        <v>10</v>
      </c>
      <c r="L5" s="6" t="n">
        <v>4</v>
      </c>
      <c r="M5" s="4" t="s">
        <v>19</v>
      </c>
      <c r="N5" s="8" t="str">
        <f aca="false">IF(L5&lt;3.5,"Review","OK")</f>
        <v>OK</v>
      </c>
    </row>
    <row r="6" customFormat="false" ht="15" hidden="false" customHeight="true" outlineLevel="0" collapsed="false">
      <c r="A6" s="9" t="s">
        <v>25</v>
      </c>
      <c r="B6" s="10" t="n">
        <v>45300</v>
      </c>
      <c r="C6" s="9" t="s">
        <v>26</v>
      </c>
      <c r="D6" s="9" t="s">
        <v>24</v>
      </c>
      <c r="E6" s="9" t="s">
        <v>27</v>
      </c>
      <c r="F6" s="11" t="n">
        <v>3.2</v>
      </c>
      <c r="G6" s="11" t="n">
        <v>77</v>
      </c>
      <c r="H6" s="12" t="n">
        <v>115</v>
      </c>
      <c r="I6" s="12" t="n">
        <v>142</v>
      </c>
      <c r="J6" s="12" t="n">
        <v>257</v>
      </c>
      <c r="K6" s="11" t="n">
        <v>19.4</v>
      </c>
      <c r="L6" s="11" t="n">
        <v>3.2</v>
      </c>
      <c r="M6" s="9" t="s">
        <v>28</v>
      </c>
      <c r="N6" s="8" t="str">
        <f aca="false">IF(L6&lt;3.5,"Review","OK")</f>
        <v>Review</v>
      </c>
    </row>
    <row r="7" customFormat="false" ht="15" hidden="false" customHeight="true" outlineLevel="0" collapsed="false">
      <c r="A7" s="4" t="s">
        <v>29</v>
      </c>
      <c r="B7" s="5" t="n">
        <v>45312</v>
      </c>
      <c r="C7" s="4" t="s">
        <v>30</v>
      </c>
      <c r="D7" s="4" t="s">
        <v>24</v>
      </c>
      <c r="E7" s="4" t="s">
        <v>22</v>
      </c>
      <c r="F7" s="6" t="n">
        <v>3.2</v>
      </c>
      <c r="G7" s="6" t="n">
        <v>47</v>
      </c>
      <c r="H7" s="7" t="n">
        <v>80</v>
      </c>
      <c r="I7" s="7" t="n">
        <v>118</v>
      </c>
      <c r="J7" s="7" t="n">
        <v>198</v>
      </c>
      <c r="K7" s="6" t="n">
        <v>11.6</v>
      </c>
      <c r="L7" s="6" t="n">
        <v>3.9</v>
      </c>
      <c r="M7" s="4" t="s">
        <v>19</v>
      </c>
      <c r="N7" s="8" t="str">
        <f aca="false">IF(L7&lt;3.5,"Review","OK")</f>
        <v>OK</v>
      </c>
    </row>
    <row r="8" customFormat="false" ht="15" hidden="false" customHeight="true" outlineLevel="0" collapsed="false">
      <c r="A8" s="9" t="s">
        <v>31</v>
      </c>
      <c r="B8" s="10" t="n">
        <v>45315</v>
      </c>
      <c r="C8" s="9" t="s">
        <v>30</v>
      </c>
      <c r="D8" s="9" t="s">
        <v>32</v>
      </c>
      <c r="E8" s="9" t="s">
        <v>33</v>
      </c>
      <c r="F8" s="11" t="n">
        <v>32.6</v>
      </c>
      <c r="G8" s="11" t="n">
        <v>30</v>
      </c>
      <c r="H8" s="12" t="n">
        <v>280</v>
      </c>
      <c r="I8" s="12" t="n">
        <v>64</v>
      </c>
      <c r="J8" s="12" t="n">
        <v>344</v>
      </c>
      <c r="K8" s="11" t="n">
        <v>8.8</v>
      </c>
      <c r="L8" s="11" t="n">
        <v>2.9</v>
      </c>
      <c r="M8" s="9" t="s">
        <v>28</v>
      </c>
      <c r="N8" s="8" t="str">
        <f aca="false">IF(L8&lt;3.5,"Review","OK")</f>
        <v>Review</v>
      </c>
    </row>
    <row r="9" customFormat="false" ht="15" hidden="false" customHeight="true" outlineLevel="0" collapsed="false">
      <c r="A9" s="4" t="s">
        <v>34</v>
      </c>
      <c r="B9" s="5" t="n">
        <v>45326</v>
      </c>
      <c r="C9" s="4" t="s">
        <v>35</v>
      </c>
      <c r="D9" s="4" t="s">
        <v>24</v>
      </c>
      <c r="E9" s="4" t="s">
        <v>33</v>
      </c>
      <c r="F9" s="6" t="n">
        <v>28</v>
      </c>
      <c r="G9" s="6" t="n">
        <v>6</v>
      </c>
      <c r="H9" s="7" t="n">
        <v>182</v>
      </c>
      <c r="I9" s="7" t="n">
        <v>85</v>
      </c>
      <c r="J9" s="7" t="n">
        <v>267</v>
      </c>
      <c r="K9" s="6" t="n">
        <v>4.2</v>
      </c>
      <c r="L9" s="6" t="n">
        <v>4.3</v>
      </c>
      <c r="M9" s="4" t="s">
        <v>19</v>
      </c>
      <c r="N9" s="8" t="str">
        <f aca="false">IF(L9&lt;3.5,"Review","OK")</f>
        <v>OK</v>
      </c>
    </row>
    <row r="10" customFormat="false" ht="15" hidden="false" customHeight="true" outlineLevel="0" collapsed="false">
      <c r="A10" s="9" t="s">
        <v>36</v>
      </c>
      <c r="B10" s="10" t="n">
        <v>45327</v>
      </c>
      <c r="C10" s="9" t="s">
        <v>26</v>
      </c>
      <c r="D10" s="9" t="s">
        <v>21</v>
      </c>
      <c r="E10" s="9" t="s">
        <v>22</v>
      </c>
      <c r="F10" s="11" t="n">
        <v>25.3</v>
      </c>
      <c r="G10" s="11" t="n">
        <v>56</v>
      </c>
      <c r="H10" s="12" t="n">
        <v>372</v>
      </c>
      <c r="I10" s="12" t="n">
        <v>45</v>
      </c>
      <c r="J10" s="12" t="n">
        <v>417</v>
      </c>
      <c r="K10" s="11" t="n">
        <v>13.9</v>
      </c>
      <c r="L10" s="11" t="n">
        <v>3.6</v>
      </c>
      <c r="M10" s="9" t="s">
        <v>19</v>
      </c>
      <c r="N10" s="8" t="str">
        <f aca="false">IF(L10&lt;3.5,"Review","OK")</f>
        <v>OK</v>
      </c>
    </row>
    <row r="11" customFormat="false" ht="15" hidden="false" customHeight="true" outlineLevel="0" collapsed="false">
      <c r="A11" s="4" t="s">
        <v>37</v>
      </c>
      <c r="B11" s="5" t="n">
        <v>45330</v>
      </c>
      <c r="C11" s="4" t="s">
        <v>26</v>
      </c>
      <c r="D11" s="4" t="s">
        <v>32</v>
      </c>
      <c r="E11" s="4" t="s">
        <v>18</v>
      </c>
      <c r="F11" s="6" t="n">
        <v>19.3</v>
      </c>
      <c r="G11" s="6" t="n">
        <v>82</v>
      </c>
      <c r="H11" s="7" t="n">
        <v>302</v>
      </c>
      <c r="I11" s="7" t="n">
        <v>106</v>
      </c>
      <c r="J11" s="7" t="n">
        <v>408</v>
      </c>
      <c r="K11" s="6" t="n">
        <v>21</v>
      </c>
      <c r="L11" s="6" t="n">
        <v>4</v>
      </c>
      <c r="M11" s="4" t="s">
        <v>19</v>
      </c>
      <c r="N11" s="8" t="str">
        <f aca="false">IF(L11&lt;3.5,"Review","OK")</f>
        <v>OK</v>
      </c>
    </row>
    <row r="12" customFormat="false" ht="15" hidden="false" customHeight="true" outlineLevel="0" collapsed="false">
      <c r="A12" s="9" t="s">
        <v>38</v>
      </c>
      <c r="B12" s="10" t="n">
        <v>45344</v>
      </c>
      <c r="C12" s="9" t="s">
        <v>30</v>
      </c>
      <c r="D12" s="9" t="s">
        <v>21</v>
      </c>
      <c r="E12" s="9" t="s">
        <v>33</v>
      </c>
      <c r="F12" s="11" t="n">
        <v>44.9</v>
      </c>
      <c r="G12" s="11" t="n">
        <v>15</v>
      </c>
      <c r="H12" s="12" t="n">
        <v>367</v>
      </c>
      <c r="I12" s="12" t="n">
        <v>12</v>
      </c>
      <c r="J12" s="12" t="n">
        <v>379</v>
      </c>
      <c r="K12" s="11" t="n">
        <v>5.7</v>
      </c>
      <c r="L12" s="11" t="n">
        <v>3.2</v>
      </c>
      <c r="M12" s="9" t="s">
        <v>28</v>
      </c>
      <c r="N12" s="8" t="str">
        <f aca="false">IF(L12&lt;3.5,"Review","OK")</f>
        <v>Review</v>
      </c>
    </row>
    <row r="13" customFormat="false" ht="15" hidden="false" customHeight="true" outlineLevel="0" collapsed="false">
      <c r="A13" s="4" t="s">
        <v>39</v>
      </c>
      <c r="B13" s="5" t="n">
        <v>45346</v>
      </c>
      <c r="C13" s="4" t="s">
        <v>40</v>
      </c>
      <c r="D13" s="4" t="s">
        <v>41</v>
      </c>
      <c r="E13" s="4" t="s">
        <v>33</v>
      </c>
      <c r="F13" s="6" t="n">
        <v>4</v>
      </c>
      <c r="G13" s="6" t="n">
        <v>33</v>
      </c>
      <c r="H13" s="7" t="n">
        <v>88</v>
      </c>
      <c r="I13" s="7" t="n">
        <v>126</v>
      </c>
      <c r="J13" s="7" t="n">
        <v>214</v>
      </c>
      <c r="K13" s="6" t="n">
        <v>9.8</v>
      </c>
      <c r="L13" s="6" t="n">
        <v>4.1</v>
      </c>
      <c r="M13" s="4" t="s">
        <v>19</v>
      </c>
      <c r="N13" s="8" t="str">
        <f aca="false">IF(L13&lt;3.5,"Review","OK")</f>
        <v>OK</v>
      </c>
    </row>
    <row r="14" customFormat="false" ht="15" hidden="false" customHeight="true" outlineLevel="0" collapsed="false">
      <c r="A14" s="9" t="s">
        <v>42</v>
      </c>
      <c r="B14" s="10" t="n">
        <v>45346</v>
      </c>
      <c r="C14" s="9" t="s">
        <v>30</v>
      </c>
      <c r="D14" s="9" t="s">
        <v>17</v>
      </c>
      <c r="E14" s="9" t="s">
        <v>27</v>
      </c>
      <c r="F14" s="11" t="n">
        <v>3.8</v>
      </c>
      <c r="G14" s="11" t="n">
        <v>30</v>
      </c>
      <c r="H14" s="12" t="n">
        <v>80</v>
      </c>
      <c r="I14" s="12" t="n">
        <v>84</v>
      </c>
      <c r="J14" s="12" t="n">
        <v>164</v>
      </c>
      <c r="K14" s="11" t="n">
        <v>8.7</v>
      </c>
      <c r="L14" s="11" t="n">
        <v>4.9</v>
      </c>
      <c r="M14" s="9" t="s">
        <v>19</v>
      </c>
      <c r="N14" s="8" t="str">
        <f aca="false">IF(L14&lt;3.5,"Review","OK")</f>
        <v>OK</v>
      </c>
    </row>
    <row r="15" customFormat="false" ht="15" hidden="false" customHeight="true" outlineLevel="0" collapsed="false">
      <c r="A15" s="4" t="s">
        <v>43</v>
      </c>
      <c r="B15" s="5" t="n">
        <v>45352</v>
      </c>
      <c r="C15" s="4" t="s">
        <v>26</v>
      </c>
      <c r="D15" s="4" t="s">
        <v>24</v>
      </c>
      <c r="E15" s="4" t="s">
        <v>18</v>
      </c>
      <c r="F15" s="6" t="n">
        <v>33.9</v>
      </c>
      <c r="G15" s="6" t="n">
        <v>79</v>
      </c>
      <c r="H15" s="7" t="n">
        <v>472</v>
      </c>
      <c r="I15" s="7" t="n">
        <v>143</v>
      </c>
      <c r="J15" s="7" t="n">
        <v>615</v>
      </c>
      <c r="K15" s="6" t="n">
        <v>21.3</v>
      </c>
      <c r="L15" s="6" t="n">
        <v>3.7</v>
      </c>
      <c r="M15" s="4" t="s">
        <v>19</v>
      </c>
      <c r="N15" s="8" t="str">
        <f aca="false">IF(L15&lt;3.5,"Review","OK")</f>
        <v>OK</v>
      </c>
    </row>
    <row r="16" customFormat="false" ht="15" hidden="false" customHeight="true" outlineLevel="0" collapsed="false">
      <c r="A16" s="9" t="s">
        <v>44</v>
      </c>
      <c r="B16" s="10" t="n">
        <v>45353</v>
      </c>
      <c r="C16" s="9" t="s">
        <v>16</v>
      </c>
      <c r="D16" s="9" t="s">
        <v>17</v>
      </c>
      <c r="E16" s="9" t="s">
        <v>27</v>
      </c>
      <c r="F16" s="11" t="n">
        <v>32.2</v>
      </c>
      <c r="G16" s="11" t="n">
        <v>65</v>
      </c>
      <c r="H16" s="12" t="n">
        <v>364</v>
      </c>
      <c r="I16" s="12" t="n">
        <v>112</v>
      </c>
      <c r="J16" s="12" t="n">
        <v>476</v>
      </c>
      <c r="K16" s="11" t="n">
        <v>16.2</v>
      </c>
      <c r="L16" s="11" t="n">
        <v>5</v>
      </c>
      <c r="M16" s="9" t="s">
        <v>19</v>
      </c>
      <c r="N16" s="8" t="str">
        <f aca="false">IF(L16&lt;3.5,"Review","OK")</f>
        <v>OK</v>
      </c>
    </row>
    <row r="17" customFormat="false" ht="15" hidden="false" customHeight="true" outlineLevel="0" collapsed="false">
      <c r="A17" s="4" t="s">
        <v>45</v>
      </c>
      <c r="B17" s="5" t="n">
        <v>45354</v>
      </c>
      <c r="C17" s="4" t="s">
        <v>26</v>
      </c>
      <c r="D17" s="4" t="s">
        <v>32</v>
      </c>
      <c r="E17" s="4" t="s">
        <v>33</v>
      </c>
      <c r="F17" s="6" t="n">
        <v>6.9</v>
      </c>
      <c r="G17" s="6" t="n">
        <v>47</v>
      </c>
      <c r="H17" s="7" t="n">
        <v>158</v>
      </c>
      <c r="I17" s="7" t="n">
        <v>78</v>
      </c>
      <c r="J17" s="7" t="n">
        <v>236</v>
      </c>
      <c r="K17" s="6" t="n">
        <v>14</v>
      </c>
      <c r="L17" s="6" t="n">
        <v>3.9</v>
      </c>
      <c r="M17" s="4" t="s">
        <v>19</v>
      </c>
      <c r="N17" s="8" t="str">
        <f aca="false">IF(L17&lt;3.5,"Review","OK")</f>
        <v>OK</v>
      </c>
    </row>
    <row r="18" customFormat="false" ht="15" hidden="false" customHeight="true" outlineLevel="0" collapsed="false">
      <c r="A18" s="9" t="s">
        <v>46</v>
      </c>
      <c r="B18" s="10" t="n">
        <v>45365</v>
      </c>
      <c r="C18" s="9" t="s">
        <v>30</v>
      </c>
      <c r="D18" s="9" t="s">
        <v>21</v>
      </c>
      <c r="E18" s="9" t="s">
        <v>33</v>
      </c>
      <c r="F18" s="11" t="n">
        <v>13.9</v>
      </c>
      <c r="G18" s="11" t="n">
        <v>28</v>
      </c>
      <c r="H18" s="12" t="n">
        <v>147</v>
      </c>
      <c r="I18" s="12" t="n">
        <v>22</v>
      </c>
      <c r="J18" s="12" t="n">
        <v>169</v>
      </c>
      <c r="K18" s="11" t="n">
        <v>9.3</v>
      </c>
      <c r="L18" s="11" t="n">
        <v>4.3</v>
      </c>
      <c r="M18" s="9" t="s">
        <v>19</v>
      </c>
      <c r="N18" s="8" t="str">
        <f aca="false">IF(L18&lt;3.5,"Review","OK")</f>
        <v>OK</v>
      </c>
    </row>
    <row r="19" customFormat="false" ht="15" hidden="false" customHeight="true" outlineLevel="0" collapsed="false">
      <c r="A19" s="4" t="s">
        <v>47</v>
      </c>
      <c r="B19" s="5" t="n">
        <v>45369</v>
      </c>
      <c r="C19" s="4" t="s">
        <v>40</v>
      </c>
      <c r="D19" s="4" t="s">
        <v>17</v>
      </c>
      <c r="E19" s="4" t="s">
        <v>27</v>
      </c>
      <c r="F19" s="6" t="n">
        <v>13</v>
      </c>
      <c r="G19" s="6" t="n">
        <v>51</v>
      </c>
      <c r="H19" s="7" t="n">
        <v>162</v>
      </c>
      <c r="I19" s="7" t="n">
        <v>101</v>
      </c>
      <c r="J19" s="7" t="n">
        <v>263</v>
      </c>
      <c r="K19" s="6" t="n">
        <v>13</v>
      </c>
      <c r="L19" s="6" t="n">
        <v>2.8</v>
      </c>
      <c r="M19" s="4" t="s">
        <v>28</v>
      </c>
      <c r="N19" s="8" t="str">
        <f aca="false">IF(L19&lt;3.5,"Review","OK")</f>
        <v>Review</v>
      </c>
    </row>
    <row r="20" customFormat="false" ht="15" hidden="false" customHeight="true" outlineLevel="0" collapsed="false">
      <c r="A20" s="9" t="s">
        <v>48</v>
      </c>
      <c r="B20" s="10" t="n">
        <v>45370</v>
      </c>
      <c r="C20" s="9" t="s">
        <v>16</v>
      </c>
      <c r="D20" s="9" t="s">
        <v>21</v>
      </c>
      <c r="E20" s="9" t="s">
        <v>22</v>
      </c>
      <c r="F20" s="11" t="n">
        <v>30.6</v>
      </c>
      <c r="G20" s="11" t="n">
        <v>47</v>
      </c>
      <c r="H20" s="12" t="n">
        <v>349</v>
      </c>
      <c r="I20" s="12" t="n">
        <v>38</v>
      </c>
      <c r="J20" s="12" t="n">
        <v>387</v>
      </c>
      <c r="K20" s="11" t="n">
        <v>11.5</v>
      </c>
      <c r="L20" s="11" t="n">
        <v>3.5</v>
      </c>
      <c r="M20" s="9" t="s">
        <v>19</v>
      </c>
      <c r="N20" s="8" t="str">
        <f aca="false">IF(L20&lt;3.5,"Review","OK")</f>
        <v>OK</v>
      </c>
    </row>
    <row r="21" customFormat="false" ht="15" hidden="false" customHeight="true" outlineLevel="0" collapsed="false">
      <c r="A21" s="4" t="s">
        <v>49</v>
      </c>
      <c r="B21" s="5" t="n">
        <v>45383</v>
      </c>
      <c r="C21" s="4" t="s">
        <v>16</v>
      </c>
      <c r="D21" s="4" t="s">
        <v>21</v>
      </c>
      <c r="E21" s="4" t="s">
        <v>27</v>
      </c>
      <c r="F21" s="6" t="n">
        <v>47</v>
      </c>
      <c r="G21" s="6" t="n">
        <v>40</v>
      </c>
      <c r="H21" s="7" t="n">
        <v>503</v>
      </c>
      <c r="I21" s="7" t="n">
        <v>32</v>
      </c>
      <c r="J21" s="7" t="n">
        <v>535</v>
      </c>
      <c r="K21" s="6" t="n">
        <v>12</v>
      </c>
      <c r="L21" s="6" t="n">
        <v>4.5</v>
      </c>
      <c r="M21" s="4" t="s">
        <v>19</v>
      </c>
      <c r="N21" s="8" t="str">
        <f aca="false">IF(L21&lt;3.5,"Review","OK")</f>
        <v>OK</v>
      </c>
    </row>
    <row r="22" customFormat="false" ht="15" hidden="false" customHeight="true" outlineLevel="0" collapsed="false">
      <c r="A22" s="9" t="s">
        <v>50</v>
      </c>
      <c r="B22" s="10" t="n">
        <v>45385</v>
      </c>
      <c r="C22" s="9" t="s">
        <v>26</v>
      </c>
      <c r="D22" s="9" t="s">
        <v>21</v>
      </c>
      <c r="E22" s="9" t="s">
        <v>18</v>
      </c>
      <c r="F22" s="11" t="n">
        <v>1</v>
      </c>
      <c r="G22" s="11" t="n">
        <v>44</v>
      </c>
      <c r="H22" s="12" t="n">
        <v>89</v>
      </c>
      <c r="I22" s="12" t="n">
        <v>35</v>
      </c>
      <c r="J22" s="12" t="n">
        <v>124</v>
      </c>
      <c r="K22" s="11" t="n">
        <v>13.5</v>
      </c>
      <c r="L22" s="11" t="n">
        <v>3.4</v>
      </c>
      <c r="M22" s="9" t="s">
        <v>19</v>
      </c>
      <c r="N22" s="8" t="str">
        <f aca="false">IF(L22&lt;3.5,"Review","OK")</f>
        <v>Review</v>
      </c>
    </row>
    <row r="23" customFormat="false" ht="15" hidden="false" customHeight="true" outlineLevel="0" collapsed="false">
      <c r="A23" s="4" t="s">
        <v>51</v>
      </c>
      <c r="B23" s="5" t="n">
        <v>45389</v>
      </c>
      <c r="C23" s="4" t="s">
        <v>35</v>
      </c>
      <c r="D23" s="4" t="s">
        <v>21</v>
      </c>
      <c r="E23" s="4" t="s">
        <v>27</v>
      </c>
      <c r="F23" s="6" t="n">
        <v>2.2</v>
      </c>
      <c r="G23" s="6" t="n">
        <v>16</v>
      </c>
      <c r="H23" s="7" t="n">
        <v>80</v>
      </c>
      <c r="I23" s="7" t="n">
        <v>13</v>
      </c>
      <c r="J23" s="7" t="n">
        <v>93</v>
      </c>
      <c r="K23" s="6" t="n">
        <v>6.3</v>
      </c>
      <c r="L23" s="6" t="n">
        <v>4.3</v>
      </c>
      <c r="M23" s="4" t="s">
        <v>19</v>
      </c>
      <c r="N23" s="8" t="str">
        <f aca="false">IF(L23&lt;3.5,"Review","OK")</f>
        <v>OK</v>
      </c>
    </row>
    <row r="24" customFormat="false" ht="15" hidden="false" customHeight="true" outlineLevel="0" collapsed="false">
      <c r="A24" s="9" t="s">
        <v>52</v>
      </c>
      <c r="B24" s="10" t="n">
        <v>45390</v>
      </c>
      <c r="C24" s="9" t="s">
        <v>30</v>
      </c>
      <c r="D24" s="9" t="s">
        <v>21</v>
      </c>
      <c r="E24" s="9" t="s">
        <v>22</v>
      </c>
      <c r="F24" s="11" t="n">
        <v>15.1</v>
      </c>
      <c r="G24" s="11" t="n">
        <v>17</v>
      </c>
      <c r="H24" s="12" t="n">
        <v>155</v>
      </c>
      <c r="I24" s="12" t="n">
        <v>14</v>
      </c>
      <c r="J24" s="12" t="n">
        <v>169</v>
      </c>
      <c r="K24" s="11" t="n">
        <v>7.4</v>
      </c>
      <c r="L24" s="11" t="n">
        <v>3.6</v>
      </c>
      <c r="M24" s="9" t="s">
        <v>19</v>
      </c>
      <c r="N24" s="8" t="str">
        <f aca="false">IF(L24&lt;3.5,"Review","OK")</f>
        <v>OK</v>
      </c>
    </row>
    <row r="25" customFormat="false" ht="15" hidden="false" customHeight="true" outlineLevel="0" collapsed="false">
      <c r="A25" s="4" t="s">
        <v>53</v>
      </c>
      <c r="B25" s="5" t="n">
        <v>45399</v>
      </c>
      <c r="C25" s="4" t="s">
        <v>30</v>
      </c>
      <c r="D25" s="4" t="s">
        <v>21</v>
      </c>
      <c r="E25" s="4" t="s">
        <v>27</v>
      </c>
      <c r="F25" s="6" t="n">
        <v>5.4</v>
      </c>
      <c r="G25" s="6" t="n">
        <v>50</v>
      </c>
      <c r="H25" s="7" t="n">
        <v>86</v>
      </c>
      <c r="I25" s="7" t="n">
        <v>40</v>
      </c>
      <c r="J25" s="7" t="n">
        <v>126</v>
      </c>
      <c r="K25" s="6" t="n">
        <v>14.7</v>
      </c>
      <c r="L25" s="6" t="n">
        <v>4.7</v>
      </c>
      <c r="M25" s="4" t="s">
        <v>19</v>
      </c>
      <c r="N25" s="8" t="str">
        <f aca="false">IF(L25&lt;3.5,"Review","OK")</f>
        <v>OK</v>
      </c>
    </row>
    <row r="26" customFormat="false" ht="15" hidden="false" customHeight="true" outlineLevel="0" collapsed="false">
      <c r="A26" s="9" t="s">
        <v>54</v>
      </c>
      <c r="B26" s="10" t="n">
        <v>45402</v>
      </c>
      <c r="C26" s="9" t="s">
        <v>26</v>
      </c>
      <c r="D26" s="9" t="s">
        <v>21</v>
      </c>
      <c r="E26" s="9" t="s">
        <v>33</v>
      </c>
      <c r="F26" s="11" t="n">
        <v>7.8</v>
      </c>
      <c r="G26" s="11" t="n">
        <v>55</v>
      </c>
      <c r="H26" s="12" t="n">
        <v>168</v>
      </c>
      <c r="I26" s="12" t="n">
        <v>44</v>
      </c>
      <c r="J26" s="12" t="n">
        <v>212</v>
      </c>
      <c r="K26" s="11" t="n">
        <v>15.7</v>
      </c>
      <c r="L26" s="11" t="n">
        <v>3</v>
      </c>
      <c r="M26" s="9" t="s">
        <v>28</v>
      </c>
      <c r="N26" s="8" t="str">
        <f aca="false">IF(L26&lt;3.5,"Review","OK")</f>
        <v>Review</v>
      </c>
    </row>
    <row r="27" customFormat="false" ht="15" hidden="false" customHeight="true" outlineLevel="0" collapsed="false">
      <c r="A27" s="4" t="s">
        <v>55</v>
      </c>
      <c r="B27" s="5" t="n">
        <v>45419</v>
      </c>
      <c r="C27" s="4" t="s">
        <v>16</v>
      </c>
      <c r="D27" s="4" t="s">
        <v>21</v>
      </c>
      <c r="E27" s="4" t="s">
        <v>27</v>
      </c>
      <c r="F27" s="6" t="n">
        <v>42.4</v>
      </c>
      <c r="G27" s="6" t="n">
        <v>31</v>
      </c>
      <c r="H27" s="7" t="n">
        <v>460</v>
      </c>
      <c r="I27" s="7" t="n">
        <v>25</v>
      </c>
      <c r="J27" s="7" t="n">
        <v>485</v>
      </c>
      <c r="K27" s="6" t="n">
        <v>8.4</v>
      </c>
      <c r="L27" s="6" t="n">
        <v>3.4</v>
      </c>
      <c r="M27" s="4" t="s">
        <v>28</v>
      </c>
      <c r="N27" s="8" t="str">
        <f aca="false">IF(L27&lt;3.5,"Review","OK")</f>
        <v>Review</v>
      </c>
    </row>
    <row r="28" customFormat="false" ht="15" hidden="false" customHeight="true" outlineLevel="0" collapsed="false">
      <c r="A28" s="9" t="s">
        <v>56</v>
      </c>
      <c r="B28" s="10" t="n">
        <v>45430</v>
      </c>
      <c r="C28" s="9" t="s">
        <v>26</v>
      </c>
      <c r="D28" s="9" t="s">
        <v>32</v>
      </c>
      <c r="E28" s="9" t="s">
        <v>18</v>
      </c>
      <c r="F28" s="11" t="n">
        <v>20.1</v>
      </c>
      <c r="G28" s="11" t="n">
        <v>82</v>
      </c>
      <c r="H28" s="12" t="n">
        <v>311</v>
      </c>
      <c r="I28" s="12" t="n">
        <v>106</v>
      </c>
      <c r="J28" s="12" t="n">
        <v>417</v>
      </c>
      <c r="K28" s="11" t="n">
        <v>21.6</v>
      </c>
      <c r="L28" s="11" t="n">
        <v>3.5</v>
      </c>
      <c r="M28" s="9" t="s">
        <v>19</v>
      </c>
      <c r="N28" s="8" t="str">
        <f aca="false">IF(L28&lt;3.5,"Review","OK")</f>
        <v>OK</v>
      </c>
    </row>
    <row r="29" customFormat="false" ht="15" hidden="false" customHeight="true" outlineLevel="0" collapsed="false">
      <c r="A29" s="4" t="s">
        <v>57</v>
      </c>
      <c r="B29" s="5" t="n">
        <v>45430</v>
      </c>
      <c r="C29" s="4" t="s">
        <v>16</v>
      </c>
      <c r="D29" s="4" t="s">
        <v>24</v>
      </c>
      <c r="E29" s="4" t="s">
        <v>33</v>
      </c>
      <c r="F29" s="6" t="n">
        <v>37.9</v>
      </c>
      <c r="G29" s="6" t="n">
        <v>36</v>
      </c>
      <c r="H29" s="7" t="n">
        <v>418</v>
      </c>
      <c r="I29" s="7" t="n">
        <v>109</v>
      </c>
      <c r="J29" s="7" t="n">
        <v>527</v>
      </c>
      <c r="K29" s="6" t="n">
        <v>10.1</v>
      </c>
      <c r="L29" s="6" t="n">
        <v>4.2</v>
      </c>
      <c r="M29" s="4" t="s">
        <v>19</v>
      </c>
      <c r="N29" s="8" t="str">
        <f aca="false">IF(L29&lt;3.5,"Review","OK")</f>
        <v>OK</v>
      </c>
    </row>
    <row r="30" customFormat="false" ht="15" hidden="false" customHeight="true" outlineLevel="0" collapsed="false">
      <c r="A30" s="9" t="s">
        <v>58</v>
      </c>
      <c r="B30" s="10" t="n">
        <v>45433</v>
      </c>
      <c r="C30" s="9" t="s">
        <v>40</v>
      </c>
      <c r="D30" s="9" t="s">
        <v>24</v>
      </c>
      <c r="E30" s="9" t="s">
        <v>27</v>
      </c>
      <c r="F30" s="11" t="n">
        <v>10</v>
      </c>
      <c r="G30" s="11" t="n">
        <v>49</v>
      </c>
      <c r="H30" s="12" t="n">
        <v>138</v>
      </c>
      <c r="I30" s="12" t="n">
        <v>119</v>
      </c>
      <c r="J30" s="12" t="n">
        <v>257</v>
      </c>
      <c r="K30" s="11" t="n">
        <v>12.8</v>
      </c>
      <c r="L30" s="11" t="n">
        <v>4.9</v>
      </c>
      <c r="M30" s="9" t="s">
        <v>19</v>
      </c>
      <c r="N30" s="8" t="str">
        <f aca="false">IF(L30&lt;3.5,"Review","OK")</f>
        <v>OK</v>
      </c>
    </row>
    <row r="31" customFormat="false" ht="15" hidden="false" customHeight="true" outlineLevel="0" collapsed="false">
      <c r="A31" s="4" t="s">
        <v>59</v>
      </c>
      <c r="B31" s="5" t="n">
        <v>45435</v>
      </c>
      <c r="C31" s="4" t="s">
        <v>16</v>
      </c>
      <c r="D31" s="4" t="s">
        <v>21</v>
      </c>
      <c r="E31" s="4" t="s">
        <v>22</v>
      </c>
      <c r="F31" s="6" t="n">
        <v>11.1</v>
      </c>
      <c r="G31" s="6" t="n">
        <v>72</v>
      </c>
      <c r="H31" s="7" t="n">
        <v>167</v>
      </c>
      <c r="I31" s="7" t="n">
        <v>58</v>
      </c>
      <c r="J31" s="7" t="n">
        <v>225</v>
      </c>
      <c r="K31" s="6" t="n">
        <v>17.4</v>
      </c>
      <c r="L31" s="6" t="n">
        <v>4.1</v>
      </c>
      <c r="M31" s="4" t="s">
        <v>19</v>
      </c>
      <c r="N31" s="8" t="str">
        <f aca="false">IF(L31&lt;3.5,"Review","OK")</f>
        <v>OK</v>
      </c>
    </row>
    <row r="32" customFormat="false" ht="15" hidden="false" customHeight="true" outlineLevel="0" collapsed="false">
      <c r="A32" s="9" t="s">
        <v>60</v>
      </c>
      <c r="B32" s="10" t="n">
        <v>45435</v>
      </c>
      <c r="C32" s="9" t="s">
        <v>26</v>
      </c>
      <c r="D32" s="9" t="s">
        <v>21</v>
      </c>
      <c r="E32" s="9" t="s">
        <v>18</v>
      </c>
      <c r="F32" s="11" t="n">
        <v>46.4</v>
      </c>
      <c r="G32" s="11" t="n">
        <v>57</v>
      </c>
      <c r="H32" s="12" t="n">
        <v>600</v>
      </c>
      <c r="I32" s="12" t="n">
        <v>46</v>
      </c>
      <c r="J32" s="12" t="n">
        <v>646</v>
      </c>
      <c r="K32" s="11" t="n">
        <v>14.6</v>
      </c>
      <c r="L32" s="11" t="n">
        <v>3.8</v>
      </c>
      <c r="M32" s="9" t="s">
        <v>19</v>
      </c>
      <c r="N32" s="8" t="str">
        <f aca="false">IF(L32&lt;3.5,"Review","OK")</f>
        <v>OK</v>
      </c>
    </row>
    <row r="33" customFormat="false" ht="15" hidden="false" customHeight="true" outlineLevel="0" collapsed="false">
      <c r="A33" s="4" t="s">
        <v>61</v>
      </c>
      <c r="B33" s="5" t="n">
        <v>45451</v>
      </c>
      <c r="C33" s="4" t="s">
        <v>40</v>
      </c>
      <c r="D33" s="4" t="s">
        <v>21</v>
      </c>
      <c r="E33" s="4" t="s">
        <v>18</v>
      </c>
      <c r="F33" s="6" t="n">
        <v>40.6</v>
      </c>
      <c r="G33" s="6" t="n">
        <v>41</v>
      </c>
      <c r="H33" s="7" t="n">
        <v>390</v>
      </c>
      <c r="I33" s="7" t="n">
        <v>33</v>
      </c>
      <c r="J33" s="7" t="n">
        <v>423</v>
      </c>
      <c r="K33" s="6" t="n">
        <v>12.8</v>
      </c>
      <c r="L33" s="6" t="n">
        <v>4.1</v>
      </c>
      <c r="M33" s="4" t="s">
        <v>19</v>
      </c>
      <c r="N33" s="8" t="str">
        <f aca="false">IF(L33&lt;3.5,"Review","OK")</f>
        <v>OK</v>
      </c>
    </row>
    <row r="34" customFormat="false" ht="15" hidden="false" customHeight="true" outlineLevel="0" collapsed="false">
      <c r="A34" s="9" t="s">
        <v>62</v>
      </c>
      <c r="B34" s="10" t="n">
        <v>45452</v>
      </c>
      <c r="C34" s="9" t="s">
        <v>26</v>
      </c>
      <c r="D34" s="9" t="s">
        <v>24</v>
      </c>
      <c r="E34" s="9" t="s">
        <v>22</v>
      </c>
      <c r="F34" s="11" t="n">
        <v>9</v>
      </c>
      <c r="G34" s="11" t="n">
        <v>56</v>
      </c>
      <c r="H34" s="12" t="n">
        <v>182</v>
      </c>
      <c r="I34" s="12" t="n">
        <v>125</v>
      </c>
      <c r="J34" s="12" t="n">
        <v>307</v>
      </c>
      <c r="K34" s="11" t="n">
        <v>13.4</v>
      </c>
      <c r="L34" s="11" t="n">
        <v>3.7</v>
      </c>
      <c r="M34" s="9" t="s">
        <v>19</v>
      </c>
      <c r="N34" s="8" t="str">
        <f aca="false">IF(L34&lt;3.5,"Review","OK")</f>
        <v>OK</v>
      </c>
    </row>
    <row r="35" customFormat="false" ht="15" hidden="false" customHeight="true" outlineLevel="0" collapsed="false">
      <c r="A35" s="4" t="s">
        <v>63</v>
      </c>
      <c r="B35" s="5" t="n">
        <v>45457</v>
      </c>
      <c r="C35" s="4" t="s">
        <v>30</v>
      </c>
      <c r="D35" s="4" t="s">
        <v>21</v>
      </c>
      <c r="E35" s="4" t="s">
        <v>18</v>
      </c>
      <c r="F35" s="6" t="n">
        <v>37.9</v>
      </c>
      <c r="G35" s="6" t="n">
        <v>42</v>
      </c>
      <c r="H35" s="7" t="n">
        <v>318</v>
      </c>
      <c r="I35" s="7" t="n">
        <v>34</v>
      </c>
      <c r="J35" s="7" t="n">
        <v>352</v>
      </c>
      <c r="K35" s="6" t="n">
        <v>12.1</v>
      </c>
      <c r="L35" s="6" t="n">
        <v>3.6</v>
      </c>
      <c r="M35" s="4" t="s">
        <v>19</v>
      </c>
      <c r="N35" s="8" t="str">
        <f aca="false">IF(L35&lt;3.5,"Review","OK")</f>
        <v>OK</v>
      </c>
    </row>
    <row r="36" customFormat="false" ht="15" hidden="false" customHeight="true" outlineLevel="0" collapsed="false">
      <c r="A36" s="9" t="s">
        <v>64</v>
      </c>
      <c r="B36" s="10" t="n">
        <v>45458</v>
      </c>
      <c r="C36" s="9" t="s">
        <v>30</v>
      </c>
      <c r="D36" s="9" t="s">
        <v>21</v>
      </c>
      <c r="E36" s="9" t="s">
        <v>22</v>
      </c>
      <c r="F36" s="11" t="n">
        <v>27.9</v>
      </c>
      <c r="G36" s="11" t="n">
        <v>31</v>
      </c>
      <c r="H36" s="12" t="n">
        <v>246</v>
      </c>
      <c r="I36" s="12" t="n">
        <v>25</v>
      </c>
      <c r="J36" s="12" t="n">
        <v>271</v>
      </c>
      <c r="K36" s="11" t="n">
        <v>8</v>
      </c>
      <c r="L36" s="11" t="n">
        <v>3.8</v>
      </c>
      <c r="M36" s="9" t="s">
        <v>19</v>
      </c>
      <c r="N36" s="8" t="str">
        <f aca="false">IF(L36&lt;3.5,"Review","OK")</f>
        <v>OK</v>
      </c>
    </row>
    <row r="37" customFormat="false" ht="15" hidden="false" customHeight="true" outlineLevel="0" collapsed="false">
      <c r="A37" s="4" t="s">
        <v>65</v>
      </c>
      <c r="B37" s="5" t="n">
        <v>45462</v>
      </c>
      <c r="C37" s="4" t="s">
        <v>40</v>
      </c>
      <c r="D37" s="4" t="s">
        <v>32</v>
      </c>
      <c r="E37" s="4" t="s">
        <v>27</v>
      </c>
      <c r="F37" s="6" t="n">
        <v>38.8</v>
      </c>
      <c r="G37" s="6" t="n">
        <v>63</v>
      </c>
      <c r="H37" s="7" t="n">
        <v>375</v>
      </c>
      <c r="I37" s="7" t="n">
        <v>90</v>
      </c>
      <c r="J37" s="7" t="n">
        <v>465</v>
      </c>
      <c r="K37" s="6" t="n">
        <v>17</v>
      </c>
      <c r="L37" s="6" t="n">
        <v>4.7</v>
      </c>
      <c r="M37" s="4" t="s">
        <v>19</v>
      </c>
      <c r="N37" s="8" t="str">
        <f aca="false">IF(L37&lt;3.5,"Review","OK")</f>
        <v>OK</v>
      </c>
    </row>
    <row r="38" customFormat="false" ht="15" hidden="false" customHeight="true" outlineLevel="0" collapsed="false">
      <c r="A38" s="9" t="s">
        <v>66</v>
      </c>
      <c r="B38" s="10" t="n">
        <v>45469</v>
      </c>
      <c r="C38" s="9" t="s">
        <v>16</v>
      </c>
      <c r="D38" s="9" t="s">
        <v>24</v>
      </c>
      <c r="E38" s="9" t="s">
        <v>27</v>
      </c>
      <c r="F38" s="11" t="n">
        <v>17.8</v>
      </c>
      <c r="G38" s="11" t="n">
        <v>34</v>
      </c>
      <c r="H38" s="12" t="n">
        <v>229</v>
      </c>
      <c r="I38" s="12" t="n">
        <v>107</v>
      </c>
      <c r="J38" s="12" t="n">
        <v>336</v>
      </c>
      <c r="K38" s="11" t="n">
        <v>11.3</v>
      </c>
      <c r="L38" s="11" t="n">
        <v>3.3</v>
      </c>
      <c r="M38" s="9" t="s">
        <v>28</v>
      </c>
      <c r="N38" s="8" t="str">
        <f aca="false">IF(L38&lt;3.5,"Review","OK")</f>
        <v>Review</v>
      </c>
    </row>
    <row r="39" customFormat="false" ht="15" hidden="false" customHeight="true" outlineLevel="0" collapsed="false">
      <c r="A39" s="4" t="s">
        <v>67</v>
      </c>
      <c r="B39" s="5" t="n">
        <v>45474</v>
      </c>
      <c r="C39" s="4" t="s">
        <v>40</v>
      </c>
      <c r="D39" s="4" t="s">
        <v>21</v>
      </c>
      <c r="E39" s="4" t="s">
        <v>33</v>
      </c>
      <c r="F39" s="6" t="n">
        <v>32</v>
      </c>
      <c r="G39" s="6" t="n">
        <v>27</v>
      </c>
      <c r="H39" s="7" t="n">
        <v>319</v>
      </c>
      <c r="I39" s="7" t="n">
        <v>22</v>
      </c>
      <c r="J39" s="7" t="n">
        <v>341</v>
      </c>
      <c r="K39" s="6" t="n">
        <v>9.1</v>
      </c>
      <c r="L39" s="6" t="n">
        <v>4</v>
      </c>
      <c r="M39" s="4" t="s">
        <v>19</v>
      </c>
      <c r="N39" s="8" t="str">
        <f aca="false">IF(L39&lt;3.5,"Review","OK")</f>
        <v>OK</v>
      </c>
    </row>
    <row r="40" customFormat="false" ht="15" hidden="false" customHeight="true" outlineLevel="0" collapsed="false">
      <c r="A40" s="9" t="s">
        <v>68</v>
      </c>
      <c r="B40" s="10" t="n">
        <v>45519</v>
      </c>
      <c r="C40" s="9" t="s">
        <v>26</v>
      </c>
      <c r="D40" s="9" t="s">
        <v>41</v>
      </c>
      <c r="E40" s="9" t="s">
        <v>27</v>
      </c>
      <c r="F40" s="11" t="n">
        <v>49.5</v>
      </c>
      <c r="G40" s="11" t="n">
        <v>90</v>
      </c>
      <c r="H40" s="12" t="n">
        <v>595</v>
      </c>
      <c r="I40" s="12" t="n">
        <v>195</v>
      </c>
      <c r="J40" s="12" t="n">
        <v>790</v>
      </c>
      <c r="K40" s="11" t="n">
        <v>22</v>
      </c>
      <c r="L40" s="11" t="n">
        <v>4.8</v>
      </c>
      <c r="M40" s="9" t="s">
        <v>19</v>
      </c>
      <c r="N40" s="8" t="str">
        <f aca="false">IF(L40&lt;3.5,"Review","OK")</f>
        <v>OK</v>
      </c>
    </row>
    <row r="41" customFormat="false" ht="15" hidden="false" customHeight="true" outlineLevel="0" collapsed="false">
      <c r="A41" s="4" t="s">
        <v>69</v>
      </c>
      <c r="B41" s="5" t="n">
        <v>45478</v>
      </c>
      <c r="C41" s="4" t="s">
        <v>16</v>
      </c>
      <c r="D41" s="4" t="s">
        <v>24</v>
      </c>
      <c r="E41" s="4" t="s">
        <v>27</v>
      </c>
      <c r="F41" s="6" t="n">
        <v>32.1</v>
      </c>
      <c r="G41" s="6" t="n">
        <v>54</v>
      </c>
      <c r="H41" s="7" t="n">
        <v>363</v>
      </c>
      <c r="I41" s="7" t="n">
        <v>123</v>
      </c>
      <c r="J41" s="7" t="n">
        <v>486</v>
      </c>
      <c r="K41" s="6" t="n">
        <v>14.9</v>
      </c>
      <c r="L41" s="6" t="n">
        <v>4.7</v>
      </c>
      <c r="M41" s="4" t="s">
        <v>19</v>
      </c>
      <c r="N41" s="8" t="str">
        <f aca="false">IF(L41&lt;3.5,"Review","OK")</f>
        <v>OK</v>
      </c>
    </row>
    <row r="42" customFormat="false" ht="15" hidden="false" customHeight="true" outlineLevel="0" collapsed="false">
      <c r="A42" s="9" t="s">
        <v>70</v>
      </c>
      <c r="B42" s="10" t="n">
        <v>45479</v>
      </c>
      <c r="C42" s="9" t="s">
        <v>26</v>
      </c>
      <c r="D42" s="9" t="s">
        <v>17</v>
      </c>
      <c r="E42" s="9" t="s">
        <v>27</v>
      </c>
      <c r="F42" s="11" t="n">
        <v>14.8</v>
      </c>
      <c r="G42" s="11" t="n">
        <v>75</v>
      </c>
      <c r="H42" s="12" t="n">
        <v>250</v>
      </c>
      <c r="I42" s="12" t="n">
        <v>120</v>
      </c>
      <c r="J42" s="12" t="n">
        <v>370</v>
      </c>
      <c r="K42" s="11" t="n">
        <v>20</v>
      </c>
      <c r="L42" s="11" t="n">
        <v>4.4</v>
      </c>
      <c r="M42" s="9" t="s">
        <v>19</v>
      </c>
      <c r="N42" s="8" t="str">
        <f aca="false">IF(L42&lt;3.5,"Review","OK")</f>
        <v>OK</v>
      </c>
    </row>
    <row r="43" customFormat="false" ht="15" hidden="false" customHeight="true" outlineLevel="0" collapsed="false">
      <c r="A43" s="4" t="s">
        <v>71</v>
      </c>
      <c r="B43" s="5" t="n">
        <v>45480</v>
      </c>
      <c r="C43" s="4" t="s">
        <v>26</v>
      </c>
      <c r="D43" s="4" t="s">
        <v>17</v>
      </c>
      <c r="E43" s="4" t="s">
        <v>22</v>
      </c>
      <c r="F43" s="6" t="n">
        <v>37.8</v>
      </c>
      <c r="G43" s="6" t="n">
        <v>78</v>
      </c>
      <c r="H43" s="7" t="n">
        <v>517</v>
      </c>
      <c r="I43" s="7" t="n">
        <v>122</v>
      </c>
      <c r="J43" s="7" t="n">
        <v>639</v>
      </c>
      <c r="K43" s="6" t="n">
        <v>20.1</v>
      </c>
      <c r="L43" s="6" t="n">
        <v>3.8</v>
      </c>
      <c r="M43" s="4" t="s">
        <v>19</v>
      </c>
      <c r="N43" s="8" t="str">
        <f aca="false">IF(L43&lt;3.5,"Review","OK")</f>
        <v>OK</v>
      </c>
    </row>
    <row r="44" customFormat="false" ht="15" hidden="false" customHeight="true" outlineLevel="0" collapsed="false">
      <c r="A44" s="9" t="s">
        <v>72</v>
      </c>
      <c r="B44" s="10" t="n">
        <v>45482</v>
      </c>
      <c r="C44" s="9" t="s">
        <v>30</v>
      </c>
      <c r="D44" s="9" t="s">
        <v>17</v>
      </c>
      <c r="E44" s="9" t="s">
        <v>22</v>
      </c>
      <c r="F44" s="11" t="n">
        <v>10.7</v>
      </c>
      <c r="G44" s="11" t="n">
        <v>45</v>
      </c>
      <c r="H44" s="12" t="n">
        <v>124</v>
      </c>
      <c r="I44" s="12" t="n">
        <v>96</v>
      </c>
      <c r="J44" s="12" t="n">
        <v>220</v>
      </c>
      <c r="K44" s="11" t="n">
        <v>13.3</v>
      </c>
      <c r="L44" s="11" t="n">
        <v>2.6</v>
      </c>
      <c r="M44" s="9" t="s">
        <v>28</v>
      </c>
      <c r="N44" s="8" t="str">
        <f aca="false">IF(L44&lt;3.5,"Review","OK")</f>
        <v>Review</v>
      </c>
    </row>
    <row r="45" customFormat="false" ht="15" hidden="false" customHeight="true" outlineLevel="0" collapsed="false">
      <c r="A45" s="4" t="s">
        <v>73</v>
      </c>
      <c r="B45" s="5" t="n">
        <v>45484</v>
      </c>
      <c r="C45" s="4" t="s">
        <v>16</v>
      </c>
      <c r="D45" s="4" t="s">
        <v>24</v>
      </c>
      <c r="E45" s="4" t="s">
        <v>18</v>
      </c>
      <c r="F45" s="6" t="n">
        <v>31.8</v>
      </c>
      <c r="G45" s="6" t="n">
        <v>48</v>
      </c>
      <c r="H45" s="7" t="n">
        <v>361</v>
      </c>
      <c r="I45" s="7" t="n">
        <v>118</v>
      </c>
      <c r="J45" s="7" t="n">
        <v>479</v>
      </c>
      <c r="K45" s="6" t="n">
        <v>13.1</v>
      </c>
      <c r="L45" s="6" t="n">
        <v>3.6</v>
      </c>
      <c r="M45" s="4" t="s">
        <v>19</v>
      </c>
      <c r="N45" s="8" t="str">
        <f aca="false">IF(L45&lt;3.5,"Review","OK")</f>
        <v>OK</v>
      </c>
    </row>
    <row r="46" customFormat="false" ht="15" hidden="false" customHeight="true" outlineLevel="0" collapsed="false">
      <c r="A46" s="9" t="s">
        <v>74</v>
      </c>
      <c r="B46" s="10" t="n">
        <v>45487</v>
      </c>
      <c r="C46" s="9" t="s">
        <v>35</v>
      </c>
      <c r="D46" s="9" t="s">
        <v>41</v>
      </c>
      <c r="E46" s="9" t="s">
        <v>33</v>
      </c>
      <c r="F46" s="11" t="n">
        <v>39.4</v>
      </c>
      <c r="G46" s="11" t="n">
        <v>29</v>
      </c>
      <c r="H46" s="12" t="n">
        <v>242</v>
      </c>
      <c r="I46" s="12" t="n">
        <v>123</v>
      </c>
      <c r="J46" s="12" t="n">
        <v>365</v>
      </c>
      <c r="K46" s="11" t="n">
        <v>8.1</v>
      </c>
      <c r="L46" s="11" t="n">
        <v>4.4</v>
      </c>
      <c r="M46" s="9" t="s">
        <v>19</v>
      </c>
      <c r="N46" s="8" t="str">
        <f aca="false">IF(L46&lt;3.5,"Review","OK")</f>
        <v>OK</v>
      </c>
    </row>
    <row r="47" customFormat="false" ht="15" hidden="false" customHeight="true" outlineLevel="0" collapsed="false">
      <c r="A47" s="4" t="s">
        <v>75</v>
      </c>
      <c r="B47" s="5" t="n">
        <v>45496</v>
      </c>
      <c r="C47" s="4" t="s">
        <v>26</v>
      </c>
      <c r="D47" s="4" t="s">
        <v>21</v>
      </c>
      <c r="E47" s="4" t="s">
        <v>33</v>
      </c>
      <c r="F47" s="6" t="n">
        <v>7.5</v>
      </c>
      <c r="G47" s="6" t="n">
        <v>42</v>
      </c>
      <c r="H47" s="7" t="n">
        <v>165</v>
      </c>
      <c r="I47" s="7" t="n">
        <v>34</v>
      </c>
      <c r="J47" s="7" t="n">
        <v>199</v>
      </c>
      <c r="K47" s="6" t="n">
        <v>11</v>
      </c>
      <c r="L47" s="6" t="n">
        <v>4.5</v>
      </c>
      <c r="M47" s="4" t="s">
        <v>19</v>
      </c>
      <c r="N47" s="8" t="str">
        <f aca="false">IF(L47&lt;3.5,"Review","OK")</f>
        <v>OK</v>
      </c>
    </row>
    <row r="48" customFormat="false" ht="15" hidden="false" customHeight="true" outlineLevel="0" collapsed="false">
      <c r="A48" s="9" t="s">
        <v>76</v>
      </c>
      <c r="B48" s="10" t="n">
        <v>45496</v>
      </c>
      <c r="C48" s="9" t="s">
        <v>40</v>
      </c>
      <c r="D48" s="9" t="s">
        <v>21</v>
      </c>
      <c r="E48" s="9" t="s">
        <v>22</v>
      </c>
      <c r="F48" s="11" t="n">
        <v>4</v>
      </c>
      <c r="G48" s="11" t="n">
        <v>46</v>
      </c>
      <c r="H48" s="12" t="n">
        <v>88</v>
      </c>
      <c r="I48" s="12" t="n">
        <v>37</v>
      </c>
      <c r="J48" s="12" t="n">
        <v>125</v>
      </c>
      <c r="K48" s="11" t="n">
        <v>13.8</v>
      </c>
      <c r="L48" s="11" t="n">
        <v>4</v>
      </c>
      <c r="M48" s="9" t="s">
        <v>19</v>
      </c>
      <c r="N48" s="8" t="str">
        <f aca="false">IF(L48&lt;3.5,"Review","OK")</f>
        <v>OK</v>
      </c>
    </row>
    <row r="49" customFormat="false" ht="15" hidden="false" customHeight="true" outlineLevel="0" collapsed="false">
      <c r="A49" s="4" t="s">
        <v>77</v>
      </c>
      <c r="B49" s="5" t="n">
        <v>45498</v>
      </c>
      <c r="C49" s="4" t="s">
        <v>26</v>
      </c>
      <c r="D49" s="4" t="s">
        <v>21</v>
      </c>
      <c r="E49" s="4" t="s">
        <v>27</v>
      </c>
      <c r="F49" s="6" t="n">
        <v>18.7</v>
      </c>
      <c r="G49" s="6" t="n">
        <v>65</v>
      </c>
      <c r="H49" s="7" t="n">
        <v>295</v>
      </c>
      <c r="I49" s="7" t="n">
        <v>52</v>
      </c>
      <c r="J49" s="7" t="n">
        <v>347</v>
      </c>
      <c r="K49" s="6" t="n">
        <v>16</v>
      </c>
      <c r="L49" s="6" t="n">
        <v>4.2</v>
      </c>
      <c r="M49" s="4" t="s">
        <v>19</v>
      </c>
      <c r="N49" s="8" t="str">
        <f aca="false">IF(L49&lt;3.5,"Review","OK")</f>
        <v>OK</v>
      </c>
    </row>
    <row r="50" customFormat="false" ht="15" hidden="false" customHeight="true" outlineLevel="0" collapsed="false">
      <c r="A50" s="9" t="s">
        <v>78</v>
      </c>
      <c r="B50" s="10" t="n">
        <v>45499</v>
      </c>
      <c r="C50" s="9" t="s">
        <v>35</v>
      </c>
      <c r="D50" s="9" t="s">
        <v>21</v>
      </c>
      <c r="E50" s="9" t="s">
        <v>27</v>
      </c>
      <c r="F50" s="11" t="n">
        <v>36.2</v>
      </c>
      <c r="G50" s="11" t="n">
        <v>29</v>
      </c>
      <c r="H50" s="12" t="n">
        <v>225</v>
      </c>
      <c r="I50" s="12" t="n">
        <v>23</v>
      </c>
      <c r="J50" s="12" t="n">
        <v>248</v>
      </c>
      <c r="K50" s="11" t="n">
        <v>10</v>
      </c>
      <c r="L50" s="11" t="n">
        <v>3</v>
      </c>
      <c r="M50" s="9" t="s">
        <v>28</v>
      </c>
      <c r="N50" s="8" t="str">
        <f aca="false">IF(L50&lt;3.5,"Review","OK")</f>
        <v>Review</v>
      </c>
    </row>
    <row r="51" customFormat="false" ht="15" hidden="false" customHeight="true" outlineLevel="0" collapsed="false">
      <c r="A51" s="4" t="s">
        <v>79</v>
      </c>
      <c r="B51" s="5" t="n">
        <v>45501</v>
      </c>
      <c r="C51" s="4" t="s">
        <v>40</v>
      </c>
      <c r="D51" s="4" t="s">
        <v>24</v>
      </c>
      <c r="E51" s="4" t="s">
        <v>22</v>
      </c>
      <c r="F51" s="6" t="n">
        <v>38.7</v>
      </c>
      <c r="G51" s="6" t="n">
        <v>64</v>
      </c>
      <c r="H51" s="7" t="n">
        <v>374</v>
      </c>
      <c r="I51" s="7" t="n">
        <v>131</v>
      </c>
      <c r="J51" s="7" t="n">
        <v>505</v>
      </c>
      <c r="K51" s="6" t="n">
        <v>16.6</v>
      </c>
      <c r="L51" s="6" t="n">
        <v>3.6</v>
      </c>
      <c r="M51" s="4" t="s">
        <v>19</v>
      </c>
      <c r="N51" s="8" t="str">
        <f aca="false">IF(L51&lt;3.5,"Review","OK")</f>
        <v>OK</v>
      </c>
    </row>
    <row r="52" customFormat="false" ht="15" hidden="false" customHeight="true" outlineLevel="0" collapsed="false">
      <c r="A52" s="9" t="s">
        <v>80</v>
      </c>
      <c r="B52" s="10" t="n">
        <v>45507</v>
      </c>
      <c r="C52" s="9" t="s">
        <v>26</v>
      </c>
      <c r="D52" s="9" t="s">
        <v>32</v>
      </c>
      <c r="E52" s="9" t="s">
        <v>27</v>
      </c>
      <c r="F52" s="11" t="n">
        <v>40.8</v>
      </c>
      <c r="G52" s="11" t="n">
        <v>69</v>
      </c>
      <c r="H52" s="12" t="n">
        <v>552</v>
      </c>
      <c r="I52" s="12" t="n">
        <v>95</v>
      </c>
      <c r="J52" s="12" t="n">
        <v>647</v>
      </c>
      <c r="K52" s="11" t="n">
        <v>16.6</v>
      </c>
      <c r="L52" s="11" t="n">
        <v>4.6</v>
      </c>
      <c r="M52" s="9" t="s">
        <v>19</v>
      </c>
      <c r="N52" s="8" t="str">
        <f aca="false">IF(L52&lt;3.5,"Review","OK")</f>
        <v>OK</v>
      </c>
    </row>
    <row r="53" customFormat="false" ht="15" hidden="false" customHeight="true" outlineLevel="0" collapsed="false">
      <c r="A53" s="4" t="s">
        <v>81</v>
      </c>
      <c r="B53" s="5" t="n">
        <v>45507</v>
      </c>
      <c r="C53" s="4" t="s">
        <v>35</v>
      </c>
      <c r="D53" s="4" t="s">
        <v>32</v>
      </c>
      <c r="E53" s="4" t="s">
        <v>22</v>
      </c>
      <c r="F53" s="6" t="n">
        <v>27</v>
      </c>
      <c r="G53" s="6" t="n">
        <v>15</v>
      </c>
      <c r="H53" s="7" t="n">
        <v>177</v>
      </c>
      <c r="I53" s="7" t="n">
        <v>52</v>
      </c>
      <c r="J53" s="7" t="n">
        <v>229</v>
      </c>
      <c r="K53" s="6" t="n">
        <v>7.2</v>
      </c>
      <c r="L53" s="6" t="n">
        <v>2.5</v>
      </c>
      <c r="M53" s="4" t="s">
        <v>28</v>
      </c>
      <c r="N53" s="8" t="str">
        <f aca="false">IF(L53&lt;3.5,"Review","OK")</f>
        <v>Review</v>
      </c>
    </row>
    <row r="54" customFormat="false" ht="15" hidden="false" customHeight="true" outlineLevel="0" collapsed="false">
      <c r="A54" s="9" t="s">
        <v>82</v>
      </c>
      <c r="B54" s="10" t="n">
        <v>45508</v>
      </c>
      <c r="C54" s="9" t="s">
        <v>40</v>
      </c>
      <c r="D54" s="9" t="s">
        <v>21</v>
      </c>
      <c r="E54" s="9" t="s">
        <v>27</v>
      </c>
      <c r="F54" s="11" t="n">
        <v>34.7</v>
      </c>
      <c r="G54" s="11" t="n">
        <v>52</v>
      </c>
      <c r="H54" s="12" t="n">
        <v>341</v>
      </c>
      <c r="I54" s="12" t="n">
        <v>42</v>
      </c>
      <c r="J54" s="12" t="n">
        <v>383</v>
      </c>
      <c r="K54" s="11" t="n">
        <v>13.7</v>
      </c>
      <c r="L54" s="11" t="n">
        <v>3.2</v>
      </c>
      <c r="M54" s="9" t="s">
        <v>28</v>
      </c>
      <c r="N54" s="8" t="str">
        <f aca="false">IF(L54&lt;3.5,"Review","OK")</f>
        <v>Review</v>
      </c>
    </row>
    <row r="55" customFormat="false" ht="15" hidden="false" customHeight="true" outlineLevel="0" collapsed="false">
      <c r="A55" s="4" t="s">
        <v>83</v>
      </c>
      <c r="B55" s="5" t="n">
        <v>45508</v>
      </c>
      <c r="C55" s="4" t="s">
        <v>30</v>
      </c>
      <c r="D55" s="4" t="s">
        <v>24</v>
      </c>
      <c r="E55" s="4" t="s">
        <v>18</v>
      </c>
      <c r="F55" s="6" t="n">
        <v>8.1</v>
      </c>
      <c r="G55" s="6" t="n">
        <v>45</v>
      </c>
      <c r="H55" s="7" t="n">
        <v>105</v>
      </c>
      <c r="I55" s="7" t="n">
        <v>116</v>
      </c>
      <c r="J55" s="7" t="n">
        <v>221</v>
      </c>
      <c r="K55" s="6" t="n">
        <v>12.3</v>
      </c>
      <c r="L55" s="6" t="n">
        <v>4</v>
      </c>
      <c r="M55" s="4" t="s">
        <v>19</v>
      </c>
      <c r="N55" s="8" t="str">
        <f aca="false">IF(L55&lt;3.5,"Review","OK")</f>
        <v>OK</v>
      </c>
    </row>
    <row r="56" customFormat="false" ht="15" hidden="false" customHeight="true" outlineLevel="0" collapsed="false">
      <c r="A56" s="9" t="s">
        <v>84</v>
      </c>
      <c r="B56" s="10" t="n">
        <v>45513</v>
      </c>
      <c r="C56" s="9" t="s">
        <v>26</v>
      </c>
      <c r="D56" s="9" t="s">
        <v>21</v>
      </c>
      <c r="E56" s="9" t="s">
        <v>22</v>
      </c>
      <c r="F56" s="11" t="n">
        <v>13.7</v>
      </c>
      <c r="G56" s="11" t="n">
        <v>89</v>
      </c>
      <c r="H56" s="12" t="n">
        <v>237</v>
      </c>
      <c r="I56" s="12" t="n">
        <v>71</v>
      </c>
      <c r="J56" s="12" t="n">
        <v>308</v>
      </c>
      <c r="K56" s="11" t="n">
        <v>22.1</v>
      </c>
      <c r="L56" s="11" t="n">
        <v>3.6</v>
      </c>
      <c r="M56" s="9" t="s">
        <v>19</v>
      </c>
      <c r="N56" s="8" t="str">
        <f aca="false">IF(L56&lt;3.5,"Review","OK")</f>
        <v>OK</v>
      </c>
    </row>
    <row r="57" customFormat="false" ht="15" hidden="false" customHeight="true" outlineLevel="0" collapsed="false">
      <c r="A57" s="4" t="s">
        <v>85</v>
      </c>
      <c r="B57" s="5" t="n">
        <v>45515</v>
      </c>
      <c r="C57" s="4" t="s">
        <v>16</v>
      </c>
      <c r="D57" s="4" t="s">
        <v>32</v>
      </c>
      <c r="E57" s="4" t="s">
        <v>33</v>
      </c>
      <c r="F57" s="6" t="n">
        <v>4.2</v>
      </c>
      <c r="G57" s="6" t="n">
        <v>48</v>
      </c>
      <c r="H57" s="7" t="n">
        <v>102</v>
      </c>
      <c r="I57" s="7" t="n">
        <v>78</v>
      </c>
      <c r="J57" s="7" t="n">
        <v>180</v>
      </c>
      <c r="K57" s="6" t="n">
        <v>12.3</v>
      </c>
      <c r="L57" s="6" t="n">
        <v>4.5</v>
      </c>
      <c r="M57" s="4" t="s">
        <v>19</v>
      </c>
      <c r="N57" s="8" t="str">
        <f aca="false">IF(L57&lt;3.5,"Review","OK")</f>
        <v>OK</v>
      </c>
    </row>
    <row r="58" customFormat="false" ht="15" hidden="false" customHeight="true" outlineLevel="0" collapsed="false">
      <c r="A58" s="9" t="s">
        <v>86</v>
      </c>
      <c r="B58" s="10" t="n">
        <v>45516</v>
      </c>
      <c r="C58" s="9" t="s">
        <v>35</v>
      </c>
      <c r="D58" s="9" t="s">
        <v>21</v>
      </c>
      <c r="E58" s="9" t="s">
        <v>22</v>
      </c>
      <c r="F58" s="11" t="n">
        <v>4.3</v>
      </c>
      <c r="G58" s="11" t="n">
        <v>9</v>
      </c>
      <c r="H58" s="12" t="n">
        <v>80</v>
      </c>
      <c r="I58" s="12" t="n">
        <v>10</v>
      </c>
      <c r="J58" s="12" t="n">
        <v>90</v>
      </c>
      <c r="K58" s="11" t="n">
        <v>3.7</v>
      </c>
      <c r="L58" s="11" t="n">
        <v>2.6</v>
      </c>
      <c r="M58" s="9" t="s">
        <v>28</v>
      </c>
      <c r="N58" s="8" t="str">
        <f aca="false">IF(L58&lt;3.5,"Review","OK")</f>
        <v>Review</v>
      </c>
    </row>
    <row r="59" customFormat="false" ht="15" hidden="false" customHeight="true" outlineLevel="0" collapsed="false">
      <c r="A59" s="4" t="s">
        <v>87</v>
      </c>
      <c r="B59" s="5" t="n">
        <v>45516</v>
      </c>
      <c r="C59" s="4" t="s">
        <v>30</v>
      </c>
      <c r="D59" s="4" t="s">
        <v>32</v>
      </c>
      <c r="E59" s="4" t="s">
        <v>27</v>
      </c>
      <c r="F59" s="6" t="n">
        <v>3.6</v>
      </c>
      <c r="G59" s="6" t="n">
        <v>41</v>
      </c>
      <c r="H59" s="7" t="n">
        <v>80</v>
      </c>
      <c r="I59" s="7" t="n">
        <v>73</v>
      </c>
      <c r="J59" s="7" t="n">
        <v>153</v>
      </c>
      <c r="K59" s="6" t="n">
        <v>11</v>
      </c>
      <c r="L59" s="6" t="n">
        <v>4.2</v>
      </c>
      <c r="M59" s="4" t="s">
        <v>19</v>
      </c>
      <c r="N59" s="8" t="str">
        <f aca="false">IF(L59&lt;3.5,"Review","OK")</f>
        <v>OK</v>
      </c>
    </row>
    <row r="60" customFormat="false" ht="15" hidden="false" customHeight="true" outlineLevel="0" collapsed="false">
      <c r="A60" s="9" t="s">
        <v>88</v>
      </c>
      <c r="B60" s="10" t="n">
        <v>45517</v>
      </c>
      <c r="C60" s="9" t="s">
        <v>26</v>
      </c>
      <c r="D60" s="9" t="s">
        <v>24</v>
      </c>
      <c r="E60" s="9" t="s">
        <v>33</v>
      </c>
      <c r="F60" s="11" t="n">
        <v>40.1</v>
      </c>
      <c r="G60" s="11" t="n">
        <v>64</v>
      </c>
      <c r="H60" s="12" t="n">
        <v>544</v>
      </c>
      <c r="I60" s="12" t="n">
        <v>131</v>
      </c>
      <c r="J60" s="12" t="n">
        <v>675</v>
      </c>
      <c r="K60" s="11" t="n">
        <v>17.8</v>
      </c>
      <c r="L60" s="11" t="n">
        <v>4.4</v>
      </c>
      <c r="M60" s="9" t="s">
        <v>19</v>
      </c>
      <c r="N60" s="8" t="str">
        <f aca="false">IF(L60&lt;3.5,"Review","OK")</f>
        <v>OK</v>
      </c>
    </row>
    <row r="61" customFormat="false" ht="15" hidden="false" customHeight="true" outlineLevel="0" collapsed="false">
      <c r="A61" s="4" t="s">
        <v>89</v>
      </c>
      <c r="B61" s="5" t="n">
        <v>45523</v>
      </c>
      <c r="C61" s="4" t="s">
        <v>35</v>
      </c>
      <c r="D61" s="4" t="s">
        <v>21</v>
      </c>
      <c r="E61" s="4" t="s">
        <v>33</v>
      </c>
      <c r="F61" s="6" t="n">
        <v>41.2</v>
      </c>
      <c r="G61" s="6" t="n">
        <v>29</v>
      </c>
      <c r="H61" s="7" t="n">
        <v>251</v>
      </c>
      <c r="I61" s="7" t="n">
        <v>23</v>
      </c>
      <c r="J61" s="7" t="n">
        <v>274</v>
      </c>
      <c r="K61" s="6" t="n">
        <v>9.1</v>
      </c>
      <c r="L61" s="6" t="n">
        <v>4.6</v>
      </c>
      <c r="M61" s="4" t="s">
        <v>19</v>
      </c>
      <c r="N61" s="8" t="str">
        <f aca="false">IF(L61&lt;3.5,"Review","OK")</f>
        <v>OK</v>
      </c>
    </row>
    <row r="62" customFormat="false" ht="15" hidden="false" customHeight="true" outlineLevel="0" collapsed="false">
      <c r="A62" s="9" t="s">
        <v>90</v>
      </c>
      <c r="B62" s="10" t="n">
        <v>45524</v>
      </c>
      <c r="C62" s="9" t="s">
        <v>30</v>
      </c>
      <c r="D62" s="9" t="s">
        <v>17</v>
      </c>
      <c r="E62" s="9" t="s">
        <v>22</v>
      </c>
      <c r="F62" s="11" t="n">
        <v>14.7</v>
      </c>
      <c r="G62" s="11" t="n">
        <v>39</v>
      </c>
      <c r="H62" s="12" t="n">
        <v>152</v>
      </c>
      <c r="I62" s="12" t="n">
        <v>91</v>
      </c>
      <c r="J62" s="12" t="n">
        <v>243</v>
      </c>
      <c r="K62" s="11" t="n">
        <v>12.1</v>
      </c>
      <c r="L62" s="11" t="n">
        <v>2.3</v>
      </c>
      <c r="M62" s="9" t="s">
        <v>28</v>
      </c>
      <c r="N62" s="8" t="str">
        <f aca="false">IF(L62&lt;3.5,"Review","OK")</f>
        <v>Review</v>
      </c>
    </row>
    <row r="63" customFormat="false" ht="15" hidden="false" customHeight="true" outlineLevel="0" collapsed="false">
      <c r="A63" s="4" t="s">
        <v>91</v>
      </c>
      <c r="B63" s="5" t="n">
        <v>45529</v>
      </c>
      <c r="C63" s="4" t="s">
        <v>26</v>
      </c>
      <c r="D63" s="4" t="s">
        <v>32</v>
      </c>
      <c r="E63" s="4" t="s">
        <v>18</v>
      </c>
      <c r="F63" s="6" t="n">
        <v>36</v>
      </c>
      <c r="G63" s="6" t="n">
        <v>74</v>
      </c>
      <c r="H63" s="7" t="n">
        <v>496</v>
      </c>
      <c r="I63" s="7" t="n">
        <v>99</v>
      </c>
      <c r="J63" s="7" t="n">
        <v>595</v>
      </c>
      <c r="K63" s="6" t="n">
        <v>19.7</v>
      </c>
      <c r="L63" s="6" t="n">
        <v>2.3</v>
      </c>
      <c r="M63" s="4" t="s">
        <v>28</v>
      </c>
      <c r="N63" s="8" t="str">
        <f aca="false">IF(L63&lt;3.5,"Review","OK")</f>
        <v>Review</v>
      </c>
    </row>
    <row r="64" customFormat="false" ht="15" hidden="false" customHeight="true" outlineLevel="0" collapsed="false">
      <c r="A64" s="9" t="s">
        <v>92</v>
      </c>
      <c r="B64" s="10" t="n">
        <v>45532</v>
      </c>
      <c r="C64" s="9" t="s">
        <v>40</v>
      </c>
      <c r="D64" s="9" t="s">
        <v>24</v>
      </c>
      <c r="E64" s="9" t="s">
        <v>22</v>
      </c>
      <c r="F64" s="11" t="n">
        <v>13.5</v>
      </c>
      <c r="G64" s="11" t="n">
        <v>51</v>
      </c>
      <c r="H64" s="12" t="n">
        <v>166</v>
      </c>
      <c r="I64" s="12" t="n">
        <v>121</v>
      </c>
      <c r="J64" s="12" t="n">
        <v>287</v>
      </c>
      <c r="K64" s="11" t="n">
        <v>12.3</v>
      </c>
      <c r="L64" s="11" t="n">
        <v>3.9</v>
      </c>
      <c r="M64" s="9" t="s">
        <v>19</v>
      </c>
      <c r="N64" s="8" t="str">
        <f aca="false">IF(L64&lt;3.5,"Review","OK")</f>
        <v>OK</v>
      </c>
    </row>
    <row r="65" customFormat="false" ht="15" hidden="false" customHeight="true" outlineLevel="0" collapsed="false">
      <c r="A65" s="4" t="s">
        <v>93</v>
      </c>
      <c r="B65" s="5" t="n">
        <v>45537</v>
      </c>
      <c r="C65" s="4" t="s">
        <v>40</v>
      </c>
      <c r="D65" s="4" t="s">
        <v>17</v>
      </c>
      <c r="E65" s="4" t="s">
        <v>27</v>
      </c>
      <c r="F65" s="6" t="n">
        <v>19.7</v>
      </c>
      <c r="G65" s="6" t="n">
        <v>30</v>
      </c>
      <c r="H65" s="7" t="n">
        <v>218</v>
      </c>
      <c r="I65" s="7" t="n">
        <v>84</v>
      </c>
      <c r="J65" s="7" t="n">
        <v>302</v>
      </c>
      <c r="K65" s="6" t="n">
        <v>10.1</v>
      </c>
      <c r="L65" s="6" t="n">
        <v>3.6</v>
      </c>
      <c r="M65" s="4" t="s">
        <v>28</v>
      </c>
      <c r="N65" s="8" t="str">
        <f aca="false">IF(L65&lt;3.5,"Review","OK")</f>
        <v>OK</v>
      </c>
    </row>
    <row r="66" customFormat="false" ht="15" hidden="false" customHeight="true" outlineLevel="0" collapsed="false">
      <c r="A66" s="9" t="s">
        <v>94</v>
      </c>
      <c r="B66" s="10" t="n">
        <v>45538</v>
      </c>
      <c r="C66" s="9" t="s">
        <v>26</v>
      </c>
      <c r="D66" s="9" t="s">
        <v>21</v>
      </c>
      <c r="E66" s="9" t="s">
        <v>33</v>
      </c>
      <c r="F66" s="11" t="n">
        <v>25.9</v>
      </c>
      <c r="G66" s="11" t="n">
        <v>65</v>
      </c>
      <c r="H66" s="12" t="n">
        <v>379</v>
      </c>
      <c r="I66" s="12" t="n">
        <v>52</v>
      </c>
      <c r="J66" s="12" t="n">
        <v>431</v>
      </c>
      <c r="K66" s="11" t="n">
        <v>17.1</v>
      </c>
      <c r="L66" s="11" t="n">
        <v>3.9</v>
      </c>
      <c r="M66" s="9" t="s">
        <v>19</v>
      </c>
      <c r="N66" s="8" t="str">
        <f aca="false">IF(L66&lt;3.5,"Review","OK")</f>
        <v>OK</v>
      </c>
    </row>
    <row r="67" customFormat="false" ht="15" hidden="false" customHeight="true" outlineLevel="0" collapsed="false">
      <c r="A67" s="4" t="s">
        <v>95</v>
      </c>
      <c r="B67" s="5" t="n">
        <v>45539</v>
      </c>
      <c r="C67" s="4" t="s">
        <v>16</v>
      </c>
      <c r="D67" s="4" t="s">
        <v>32</v>
      </c>
      <c r="E67" s="4" t="s">
        <v>18</v>
      </c>
      <c r="F67" s="6" t="n">
        <v>20.9</v>
      </c>
      <c r="G67" s="6" t="n">
        <v>59</v>
      </c>
      <c r="H67" s="7" t="n">
        <v>258</v>
      </c>
      <c r="I67" s="7" t="n">
        <v>87</v>
      </c>
      <c r="J67" s="7" t="n">
        <v>345</v>
      </c>
      <c r="K67" s="6" t="n">
        <v>14.5</v>
      </c>
      <c r="L67" s="6" t="n">
        <v>3.6</v>
      </c>
      <c r="M67" s="4" t="s">
        <v>19</v>
      </c>
      <c r="N67" s="8" t="str">
        <f aca="false">IF(L67&lt;3.5,"Review","OK")</f>
        <v>OK</v>
      </c>
    </row>
    <row r="68" customFormat="false" ht="15" hidden="false" customHeight="true" outlineLevel="0" collapsed="false">
      <c r="A68" s="9" t="s">
        <v>96</v>
      </c>
      <c r="B68" s="10" t="n">
        <v>45543</v>
      </c>
      <c r="C68" s="9" t="s">
        <v>16</v>
      </c>
      <c r="D68" s="9" t="s">
        <v>21</v>
      </c>
      <c r="E68" s="9" t="s">
        <v>18</v>
      </c>
      <c r="F68" s="11" t="n">
        <v>22.1</v>
      </c>
      <c r="G68" s="11" t="n">
        <v>51</v>
      </c>
      <c r="H68" s="12" t="n">
        <v>270</v>
      </c>
      <c r="I68" s="12" t="n">
        <v>41</v>
      </c>
      <c r="J68" s="12" t="n">
        <v>311</v>
      </c>
      <c r="K68" s="11" t="n">
        <v>14.5</v>
      </c>
      <c r="L68" s="11" t="n">
        <v>3.9</v>
      </c>
      <c r="M68" s="9" t="s">
        <v>19</v>
      </c>
      <c r="N68" s="8" t="str">
        <f aca="false">IF(L68&lt;3.5,"Review","OK")</f>
        <v>OK</v>
      </c>
    </row>
    <row r="69" customFormat="false" ht="15" hidden="false" customHeight="true" outlineLevel="0" collapsed="false">
      <c r="A69" s="4" t="s">
        <v>97</v>
      </c>
      <c r="B69" s="5" t="n">
        <v>45545</v>
      </c>
      <c r="C69" s="4" t="s">
        <v>40</v>
      </c>
      <c r="D69" s="4" t="s">
        <v>32</v>
      </c>
      <c r="E69" s="4" t="s">
        <v>33</v>
      </c>
      <c r="F69" s="6" t="n">
        <v>40</v>
      </c>
      <c r="G69" s="6" t="n">
        <v>36</v>
      </c>
      <c r="H69" s="7" t="n">
        <v>385</v>
      </c>
      <c r="I69" s="7" t="n">
        <v>69</v>
      </c>
      <c r="J69" s="7" t="n">
        <v>454</v>
      </c>
      <c r="K69" s="6" t="n">
        <v>11.4</v>
      </c>
      <c r="L69" s="6" t="n">
        <v>4.4</v>
      </c>
      <c r="M69" s="4" t="s">
        <v>19</v>
      </c>
      <c r="N69" s="8" t="str">
        <f aca="false">IF(L69&lt;3.5,"Review","OK")</f>
        <v>OK</v>
      </c>
    </row>
    <row r="70" customFormat="false" ht="15" hidden="false" customHeight="true" outlineLevel="0" collapsed="false">
      <c r="A70" s="9" t="s">
        <v>98</v>
      </c>
      <c r="B70" s="10" t="n">
        <v>45548</v>
      </c>
      <c r="C70" s="9" t="s">
        <v>40</v>
      </c>
      <c r="D70" s="9" t="s">
        <v>24</v>
      </c>
      <c r="E70" s="9" t="s">
        <v>33</v>
      </c>
      <c r="F70" s="11" t="n">
        <v>3</v>
      </c>
      <c r="G70" s="11" t="n">
        <v>42</v>
      </c>
      <c r="H70" s="12" t="n">
        <v>80</v>
      </c>
      <c r="I70" s="12" t="n">
        <v>114</v>
      </c>
      <c r="J70" s="12" t="n">
        <v>194</v>
      </c>
      <c r="K70" s="11" t="n">
        <v>10.9</v>
      </c>
      <c r="L70" s="11" t="n">
        <v>4.6</v>
      </c>
      <c r="M70" s="9" t="s">
        <v>19</v>
      </c>
      <c r="N70" s="8" t="str">
        <f aca="false">IF(L70&lt;3.5,"Review","OK")</f>
        <v>OK</v>
      </c>
    </row>
    <row r="71" customFormat="false" ht="15" hidden="false" customHeight="true" outlineLevel="0" collapsed="false">
      <c r="A71" s="4" t="s">
        <v>99</v>
      </c>
      <c r="B71" s="5" t="n">
        <v>45550</v>
      </c>
      <c r="C71" s="4" t="s">
        <v>16</v>
      </c>
      <c r="D71" s="4" t="s">
        <v>41</v>
      </c>
      <c r="E71" s="4" t="s">
        <v>33</v>
      </c>
      <c r="F71" s="6" t="n">
        <v>2.4</v>
      </c>
      <c r="G71" s="6" t="n">
        <v>31</v>
      </c>
      <c r="H71" s="7" t="n">
        <v>85</v>
      </c>
      <c r="I71" s="7" t="n">
        <v>125</v>
      </c>
      <c r="J71" s="7" t="n">
        <v>210</v>
      </c>
      <c r="K71" s="6" t="n">
        <v>10.7</v>
      </c>
      <c r="L71" s="6" t="n">
        <v>3.8</v>
      </c>
      <c r="M71" s="4" t="s">
        <v>19</v>
      </c>
      <c r="N71" s="8" t="str">
        <f aca="false">IF(L71&lt;3.5,"Review","OK")</f>
        <v>OK</v>
      </c>
    </row>
    <row r="72" customFormat="false" ht="15" hidden="false" customHeight="true" outlineLevel="0" collapsed="false">
      <c r="A72" s="9" t="s">
        <v>100</v>
      </c>
      <c r="B72" s="10" t="n">
        <v>45553</v>
      </c>
      <c r="C72" s="9" t="s">
        <v>40</v>
      </c>
      <c r="D72" s="9" t="s">
        <v>24</v>
      </c>
      <c r="E72" s="9" t="s">
        <v>22</v>
      </c>
      <c r="F72" s="11" t="n">
        <v>7.7</v>
      </c>
      <c r="G72" s="11" t="n">
        <v>28</v>
      </c>
      <c r="H72" s="12" t="n">
        <v>119</v>
      </c>
      <c r="I72" s="12" t="n">
        <v>102</v>
      </c>
      <c r="J72" s="12" t="n">
        <v>221</v>
      </c>
      <c r="K72" s="11" t="n">
        <v>8.6</v>
      </c>
      <c r="L72" s="11" t="n">
        <v>4.2</v>
      </c>
      <c r="M72" s="9" t="s">
        <v>19</v>
      </c>
      <c r="N72" s="8" t="str">
        <f aca="false">IF(L72&lt;3.5,"Review","OK")</f>
        <v>OK</v>
      </c>
    </row>
    <row r="73" customFormat="false" ht="15" hidden="false" customHeight="true" outlineLevel="0" collapsed="false">
      <c r="A73" s="4" t="s">
        <v>101</v>
      </c>
      <c r="B73" s="5" t="n">
        <v>45553</v>
      </c>
      <c r="C73" s="4" t="s">
        <v>30</v>
      </c>
      <c r="D73" s="4" t="s">
        <v>24</v>
      </c>
      <c r="E73" s="4" t="s">
        <v>22</v>
      </c>
      <c r="F73" s="6" t="n">
        <v>22.6</v>
      </c>
      <c r="G73" s="6" t="n">
        <v>31</v>
      </c>
      <c r="H73" s="7" t="n">
        <v>209</v>
      </c>
      <c r="I73" s="7" t="n">
        <v>105</v>
      </c>
      <c r="J73" s="7" t="n">
        <v>314</v>
      </c>
      <c r="K73" s="6" t="n">
        <v>10.1</v>
      </c>
      <c r="L73" s="6" t="n">
        <v>3.9</v>
      </c>
      <c r="M73" s="4" t="s">
        <v>19</v>
      </c>
      <c r="N73" s="8" t="str">
        <f aca="false">IF(L73&lt;3.5,"Review","OK")</f>
        <v>OK</v>
      </c>
    </row>
    <row r="74" customFormat="false" ht="15" hidden="false" customHeight="true" outlineLevel="0" collapsed="false">
      <c r="A74" s="9" t="s">
        <v>102</v>
      </c>
      <c r="B74" s="10" t="n">
        <v>45555</v>
      </c>
      <c r="C74" s="9" t="s">
        <v>16</v>
      </c>
      <c r="D74" s="9" t="s">
        <v>17</v>
      </c>
      <c r="E74" s="9" t="s">
        <v>18</v>
      </c>
      <c r="F74" s="11" t="n">
        <v>36</v>
      </c>
      <c r="G74" s="11" t="n">
        <v>37</v>
      </c>
      <c r="H74" s="12" t="n">
        <v>400</v>
      </c>
      <c r="I74" s="12" t="n">
        <v>90</v>
      </c>
      <c r="J74" s="12" t="n">
        <v>490</v>
      </c>
      <c r="K74" s="11" t="n">
        <v>11.5</v>
      </c>
      <c r="L74" s="11" t="n">
        <v>3.5</v>
      </c>
      <c r="M74" s="9" t="s">
        <v>19</v>
      </c>
      <c r="N74" s="8" t="str">
        <f aca="false">IF(L74&lt;3.5,"Review","OK")</f>
        <v>OK</v>
      </c>
    </row>
    <row r="75" customFormat="false" ht="15" hidden="false" customHeight="true" outlineLevel="0" collapsed="false">
      <c r="A75" s="4" t="s">
        <v>103</v>
      </c>
      <c r="B75" s="5" t="n">
        <v>45559</v>
      </c>
      <c r="C75" s="4" t="s">
        <v>40</v>
      </c>
      <c r="D75" s="4" t="s">
        <v>21</v>
      </c>
      <c r="E75" s="4" t="s">
        <v>33</v>
      </c>
      <c r="F75" s="6" t="n">
        <v>28</v>
      </c>
      <c r="G75" s="6" t="n">
        <v>39</v>
      </c>
      <c r="H75" s="7" t="n">
        <v>286</v>
      </c>
      <c r="I75" s="7" t="n">
        <v>31</v>
      </c>
      <c r="J75" s="7" t="n">
        <v>317</v>
      </c>
      <c r="K75" s="6" t="n">
        <v>11.3</v>
      </c>
      <c r="L75" s="6" t="n">
        <v>2.7</v>
      </c>
      <c r="M75" s="4" t="s">
        <v>28</v>
      </c>
      <c r="N75" s="8" t="str">
        <f aca="false">IF(L75&lt;3.5,"Review","OK")</f>
        <v>Review</v>
      </c>
    </row>
    <row r="76" customFormat="false" ht="15" hidden="false" customHeight="true" outlineLevel="0" collapsed="false">
      <c r="A76" s="9" t="s">
        <v>104</v>
      </c>
      <c r="B76" s="10" t="n">
        <v>45561</v>
      </c>
      <c r="C76" s="9" t="s">
        <v>26</v>
      </c>
      <c r="D76" s="9" t="s">
        <v>21</v>
      </c>
      <c r="E76" s="9" t="s">
        <v>27</v>
      </c>
      <c r="F76" s="11" t="n">
        <v>45.2</v>
      </c>
      <c r="G76" s="11" t="n">
        <v>52</v>
      </c>
      <c r="H76" s="12" t="n">
        <v>600</v>
      </c>
      <c r="I76" s="12" t="n">
        <v>42</v>
      </c>
      <c r="J76" s="12" t="n">
        <v>642</v>
      </c>
      <c r="K76" s="11" t="n">
        <v>12.7</v>
      </c>
      <c r="L76" s="11" t="n">
        <v>4.7</v>
      </c>
      <c r="M76" s="9" t="s">
        <v>19</v>
      </c>
      <c r="N76" s="8" t="str">
        <f aca="false">IF(L76&lt;3.5,"Review","OK")</f>
        <v>OK</v>
      </c>
    </row>
    <row r="77" customFormat="false" ht="15" hidden="false" customHeight="true" outlineLevel="0" collapsed="false">
      <c r="A77" s="4" t="s">
        <v>105</v>
      </c>
      <c r="B77" s="5" t="n">
        <v>45562</v>
      </c>
      <c r="C77" s="4" t="s">
        <v>16</v>
      </c>
      <c r="D77" s="4" t="s">
        <v>41</v>
      </c>
      <c r="E77" s="4" t="s">
        <v>33</v>
      </c>
      <c r="F77" s="6" t="n">
        <v>5.3</v>
      </c>
      <c r="G77" s="6" t="n">
        <v>49</v>
      </c>
      <c r="H77" s="7" t="n">
        <v>112</v>
      </c>
      <c r="I77" s="7" t="n">
        <v>139</v>
      </c>
      <c r="J77" s="7" t="n">
        <v>251</v>
      </c>
      <c r="K77" s="6" t="n">
        <v>14.3</v>
      </c>
      <c r="L77" s="6" t="n">
        <v>3.9</v>
      </c>
      <c r="M77" s="4" t="s">
        <v>19</v>
      </c>
      <c r="N77" s="8" t="str">
        <f aca="false">IF(L77&lt;3.5,"Review","OK")</f>
        <v>OK</v>
      </c>
    </row>
  </sheetData>
  <autoFilter ref="A2:N77"/>
  <mergeCells count="1">
    <mergeCell ref="A1:N1"/>
  </mergeCells>
  <conditionalFormatting sqref="J3:J77">
    <cfRule type="colorScale" priority="2">
      <colorScale>
        <cfvo type="min" val="0"/>
        <cfvo type="percentile" val="50"/>
        <cfvo type="max" val="0"/>
        <color rgb="FFFFE0E0"/>
        <color rgb="FFFFFF99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50"/>
    <col collapsed="false" customWidth="true" hidden="false" outlineLevel="0" max="3" min="3" style="1" width="40"/>
  </cols>
  <sheetData>
    <row r="1" customFormat="false" ht="25.5" hidden="false" customHeight="true" outlineLevel="0" collapsed="false">
      <c r="A1" s="13" t="s">
        <v>106</v>
      </c>
      <c r="B1" s="13"/>
      <c r="C1" s="13"/>
    </row>
    <row r="2" customFormat="false" ht="18" hidden="false" customHeight="true" outlineLevel="0" collapsed="false">
      <c r="A2" s="14" t="s">
        <v>107</v>
      </c>
      <c r="B2" s="14"/>
      <c r="C2" s="14"/>
    </row>
    <row r="4" customFormat="false" ht="15" hidden="false" customHeight="true" outlineLevel="0" collapsed="false">
      <c r="A4" s="15" t="s">
        <v>108</v>
      </c>
      <c r="B4" s="15"/>
      <c r="C4" s="15"/>
    </row>
    <row r="5" customFormat="false" ht="18" hidden="false" customHeight="true" outlineLevel="0" collapsed="false">
      <c r="A5" s="16" t="s">
        <v>109</v>
      </c>
      <c r="B5" s="17" t="n">
        <f aca="false">SUM(Data!J3:J77)</f>
        <v>25406</v>
      </c>
      <c r="C5" s="18" t="s">
        <v>110</v>
      </c>
    </row>
    <row r="6" customFormat="false" ht="18" hidden="false" customHeight="true" outlineLevel="0" collapsed="false">
      <c r="A6" s="16" t="s">
        <v>111</v>
      </c>
      <c r="B6" s="19" t="n">
        <f aca="false">COUNT(Data!J3:J77)</f>
        <v>75</v>
      </c>
      <c r="C6" s="18" t="s">
        <v>112</v>
      </c>
    </row>
    <row r="7" customFormat="false" ht="18" hidden="false" customHeight="true" outlineLevel="0" collapsed="false">
      <c r="A7" s="16" t="s">
        <v>113</v>
      </c>
      <c r="B7" s="20" t="n">
        <f aca="false">AVERAGE(Data!L3:L77)</f>
        <v>3.84266666666667</v>
      </c>
      <c r="C7" s="18" t="s">
        <v>114</v>
      </c>
    </row>
    <row r="8" customFormat="false" ht="18" hidden="false" customHeight="true" outlineLevel="0" collapsed="false">
      <c r="A8" s="16" t="s">
        <v>115</v>
      </c>
      <c r="B8" s="17" t="n">
        <f aca="false">MIN(Data!J3:J77)</f>
        <v>90</v>
      </c>
      <c r="C8" s="18" t="s">
        <v>116</v>
      </c>
    </row>
    <row r="9" customFormat="false" ht="18" hidden="false" customHeight="true" outlineLevel="0" collapsed="false">
      <c r="A9" s="16" t="s">
        <v>117</v>
      </c>
      <c r="B9" s="17" t="n">
        <f aca="false">MAX(Data!J3:J77)</f>
        <v>790</v>
      </c>
      <c r="C9" s="18" t="s">
        <v>118</v>
      </c>
    </row>
    <row r="11" customFormat="false" ht="15" hidden="false" customHeight="true" outlineLevel="0" collapsed="false">
      <c r="A11" s="15" t="s">
        <v>119</v>
      </c>
      <c r="B11" s="15"/>
      <c r="C11" s="15"/>
    </row>
    <row r="12" customFormat="false" ht="18" hidden="false" customHeight="true" outlineLevel="0" collapsed="false">
      <c r="A12" s="16" t="s">
        <v>120</v>
      </c>
      <c r="B12" s="21" t="n">
        <f aca="false">COUNTIF(Data!C3:C77,"Nebula Dash")</f>
        <v>21</v>
      </c>
      <c r="C12" s="18" t="s">
        <v>121</v>
      </c>
    </row>
    <row r="13" customFormat="false" ht="18" hidden="false" customHeight="true" outlineLevel="0" collapsed="false">
      <c r="A13" s="16" t="s">
        <v>122</v>
      </c>
      <c r="B13" s="17" t="n">
        <f aca="false">SUMIF(Data!C3:C77,"Nebula Dash",Data!J3:J77)</f>
        <v>9282</v>
      </c>
      <c r="C13" s="18" t="s">
        <v>123</v>
      </c>
    </row>
    <row r="14" customFormat="false" ht="18" hidden="false" customHeight="true" outlineLevel="0" collapsed="false">
      <c r="A14" s="16" t="s">
        <v>124</v>
      </c>
      <c r="B14" s="22" t="n">
        <f aca="false">AVERAGEIF(Data!C3:C77,"Nebula Dash",Data!L3:L77)</f>
        <v>3.85714285714286</v>
      </c>
      <c r="C14" s="18" t="s">
        <v>125</v>
      </c>
    </row>
    <row r="15" customFormat="false" ht="18" hidden="false" customHeight="true" outlineLevel="0" collapsed="false">
      <c r="A15" s="16" t="s">
        <v>126</v>
      </c>
      <c r="B15" s="21" t="n">
        <f aca="false">COUNTIF(Data!D3:D77,"Express")</f>
        <v>18</v>
      </c>
      <c r="C15" s="18" t="s">
        <v>127</v>
      </c>
    </row>
    <row r="16" customFormat="false" ht="18" hidden="false" customHeight="true" outlineLevel="0" collapsed="false">
      <c r="A16" s="16" t="s">
        <v>128</v>
      </c>
      <c r="B16" s="17" t="n">
        <f aca="false">SUMIF(Data!D3:D77,"Express",Data!J3:J77)</f>
        <v>6416</v>
      </c>
      <c r="C16" s="18" t="s">
        <v>129</v>
      </c>
    </row>
    <row r="17" customFormat="false" ht="18" hidden="false" customHeight="true" outlineLevel="0" collapsed="false">
      <c r="A17" s="16" t="s">
        <v>130</v>
      </c>
      <c r="B17" s="22" t="n">
        <f aca="false">AVERAGEIF(Data!C3:C77,"Asteroid Express",Data!L3:L77)</f>
        <v>3.67142857142857</v>
      </c>
      <c r="C17" s="18" t="s">
        <v>131</v>
      </c>
    </row>
    <row r="19" customFormat="false" ht="15" hidden="false" customHeight="true" outlineLevel="0" collapsed="false">
      <c r="A19" s="15" t="s">
        <v>132</v>
      </c>
      <c r="B19" s="15"/>
      <c r="C19" s="15"/>
    </row>
    <row r="20" customFormat="false" ht="18" hidden="false" customHeight="true" outlineLevel="0" collapsed="false">
      <c r="A20" s="16" t="s">
        <v>133</v>
      </c>
      <c r="B20" s="21" t="n">
        <f aca="false">COUNTIFS(Data!D3:D77,"Express",Data!M3:M77,"Yes")</f>
        <v>16</v>
      </c>
      <c r="C20" s="18" t="s">
        <v>134</v>
      </c>
    </row>
    <row r="21" customFormat="false" ht="18" hidden="false" customHeight="true" outlineLevel="0" collapsed="false">
      <c r="A21" s="16" t="s">
        <v>135</v>
      </c>
      <c r="B21" s="17" t="n">
        <f aca="false">SUMIFS(Data!J3:J77,Data!D3:D77,"Express",Data!M3:M77,"Yes")</f>
        <v>5823</v>
      </c>
      <c r="C21" s="18" t="s">
        <v>136</v>
      </c>
    </row>
    <row r="22" customFormat="false" ht="18" hidden="false" customHeight="true" outlineLevel="0" collapsed="false">
      <c r="A22" s="16" t="s">
        <v>137</v>
      </c>
      <c r="B22" s="22" t="n">
        <f aca="false">AVERAGEIFS(Data!L3:L77,Data!D3:D77,"Express",Data!M3:M77,"Yes")</f>
        <v>4.1</v>
      </c>
      <c r="C22" s="18" t="s">
        <v>138</v>
      </c>
    </row>
    <row r="23" customFormat="false" ht="18" hidden="false" customHeight="true" outlineLevel="0" collapsed="false">
      <c r="A23" s="16" t="s">
        <v>139</v>
      </c>
      <c r="B23" s="21" t="n">
        <f aca="false">COUNTIFS(Data!C3:C77,"Nebula Dash",Data!M3:M77,"Yes")</f>
        <v>18</v>
      </c>
      <c r="C23" s="18" t="s">
        <v>140</v>
      </c>
    </row>
    <row r="24" customFormat="false" ht="18" hidden="false" customHeight="true" outlineLevel="0" collapsed="false">
      <c r="A24" s="16" t="s">
        <v>141</v>
      </c>
      <c r="B24" s="17" t="n">
        <f aca="false">SUMIFS(Data!J3:J77,Data!C3:C77,"Nebula Dash",Data!M3:M77,"Yes")</f>
        <v>8218</v>
      </c>
      <c r="C24" s="18" t="s">
        <v>142</v>
      </c>
    </row>
    <row r="25" customFormat="false" ht="18" hidden="false" customHeight="true" outlineLevel="0" collapsed="false">
      <c r="A25" s="16" t="s">
        <v>143</v>
      </c>
      <c r="B25" s="21" t="n">
        <f aca="false">COUNTIFS(Data!C3:C77,"Asteroid Express",Data!M3:M77,"No")</f>
        <v>3</v>
      </c>
      <c r="C25" s="18" t="s">
        <v>144</v>
      </c>
    </row>
    <row r="27" customFormat="false" ht="15" hidden="false" customHeight="true" outlineLevel="0" collapsed="false">
      <c r="A27" s="15" t="s">
        <v>145</v>
      </c>
      <c r="B27" s="15"/>
      <c r="C27" s="15"/>
    </row>
    <row r="28" customFormat="false" ht="18" hidden="false" customHeight="true" outlineLevel="0" collapsed="false">
      <c r="A28" s="23" t="s">
        <v>146</v>
      </c>
      <c r="B28" s="19" t="str">
        <f aca="false">IF(Data!L3&lt;3.5,"Review","OK")</f>
        <v>OK</v>
      </c>
      <c r="C28" s="18" t="s">
        <v>147</v>
      </c>
    </row>
  </sheetData>
  <mergeCells count="6">
    <mergeCell ref="A1:C1"/>
    <mergeCell ref="A2:C2"/>
    <mergeCell ref="A4:C4"/>
    <mergeCell ref="A11:C11"/>
    <mergeCell ref="A19:C19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5" min="4" style="1" width="12"/>
  </cols>
  <sheetData>
    <row r="1" customFormat="false" ht="25.5" hidden="false" customHeight="true" outlineLevel="0" collapsed="false">
      <c r="A1" s="13" t="s">
        <v>148</v>
      </c>
      <c r="B1" s="13"/>
      <c r="C1" s="13"/>
      <c r="D1" s="13"/>
      <c r="E1" s="13"/>
    </row>
    <row r="2" customFormat="false" ht="18" hidden="false" customHeight="true" outlineLevel="0" collapsed="false">
      <c r="A2" s="24" t="s">
        <v>149</v>
      </c>
      <c r="B2" s="24"/>
      <c r="C2" s="24"/>
      <c r="D2" s="24"/>
      <c r="E2" s="24"/>
    </row>
    <row r="3" customFormat="false" ht="15" hidden="false" customHeight="true" outlineLevel="0" collapsed="false">
      <c r="A3" s="3" t="s">
        <v>3</v>
      </c>
      <c r="B3" s="3" t="s">
        <v>150</v>
      </c>
      <c r="C3" s="3" t="s">
        <v>10</v>
      </c>
      <c r="D3" s="3" t="s">
        <v>151</v>
      </c>
      <c r="E3" s="3" t="s">
        <v>152</v>
      </c>
    </row>
    <row r="4" customFormat="false" ht="15" hidden="false" customHeight="true" outlineLevel="0" collapsed="false">
      <c r="A4" s="9" t="s">
        <v>26</v>
      </c>
      <c r="B4" s="9" t="n">
        <v>21</v>
      </c>
      <c r="C4" s="12" t="n">
        <v>9282</v>
      </c>
      <c r="D4" s="25" t="n">
        <v>3.86</v>
      </c>
      <c r="E4" s="9" t="n">
        <v>18</v>
      </c>
    </row>
    <row r="5" customFormat="false" ht="15" hidden="false" customHeight="true" outlineLevel="0" collapsed="false">
      <c r="A5" s="4" t="s">
        <v>16</v>
      </c>
      <c r="B5" s="4" t="n">
        <v>18</v>
      </c>
      <c r="C5" s="7" t="n">
        <v>6484</v>
      </c>
      <c r="D5" s="26" t="n">
        <v>3.93</v>
      </c>
      <c r="E5" s="4" t="n">
        <v>16</v>
      </c>
    </row>
    <row r="6" customFormat="false" ht="15" hidden="false" customHeight="true" outlineLevel="0" collapsed="false">
      <c r="A6" s="9" t="s">
        <v>40</v>
      </c>
      <c r="B6" s="9" t="n">
        <v>15</v>
      </c>
      <c r="C6" s="12" t="n">
        <v>4751</v>
      </c>
      <c r="D6" s="25" t="n">
        <v>3.92</v>
      </c>
      <c r="E6" s="9" t="n">
        <v>11</v>
      </c>
    </row>
    <row r="7" customFormat="false" ht="15" hidden="false" customHeight="true" outlineLevel="0" collapsed="false">
      <c r="A7" s="4" t="s">
        <v>30</v>
      </c>
      <c r="B7" s="4" t="n">
        <v>14</v>
      </c>
      <c r="C7" s="7" t="n">
        <v>3323</v>
      </c>
      <c r="D7" s="26" t="n">
        <v>3.71</v>
      </c>
      <c r="E7" s="4" t="n">
        <v>10</v>
      </c>
    </row>
    <row r="8" customFormat="false" ht="15" hidden="false" customHeight="true" outlineLevel="0" collapsed="false">
      <c r="A8" s="9" t="s">
        <v>35</v>
      </c>
      <c r="B8" s="9" t="n">
        <v>7</v>
      </c>
      <c r="C8" s="12" t="n">
        <v>1566</v>
      </c>
      <c r="D8" s="25" t="n">
        <v>3.67</v>
      </c>
      <c r="E8" s="9" t="n">
        <v>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4" min="4" style="1" width="14"/>
  </cols>
  <sheetData>
    <row r="1" customFormat="false" ht="25.5" hidden="false" customHeight="true" outlineLevel="0" collapsed="false">
      <c r="A1" s="13" t="s">
        <v>153</v>
      </c>
      <c r="B1" s="13"/>
      <c r="C1" s="13"/>
      <c r="D1" s="13"/>
    </row>
    <row r="2" customFormat="false" ht="18" hidden="false" customHeight="true" outlineLevel="0" collapsed="false">
      <c r="A2" s="24" t="s">
        <v>154</v>
      </c>
      <c r="B2" s="24"/>
      <c r="C2" s="24"/>
      <c r="D2" s="24"/>
    </row>
    <row r="3" customFormat="false" ht="15" hidden="false" customHeight="true" outlineLevel="0" collapsed="false">
      <c r="A3" s="3" t="s">
        <v>155</v>
      </c>
      <c r="B3" s="3" t="s">
        <v>150</v>
      </c>
      <c r="C3" s="3" t="s">
        <v>10</v>
      </c>
      <c r="D3" s="3" t="s">
        <v>156</v>
      </c>
    </row>
    <row r="4" customFormat="false" ht="15" hidden="false" customHeight="true" outlineLevel="0" collapsed="false">
      <c r="A4" s="9" t="s">
        <v>157</v>
      </c>
      <c r="B4" s="9" t="n">
        <v>6</v>
      </c>
      <c r="C4" s="12" t="n">
        <v>1560</v>
      </c>
      <c r="D4" s="12" t="n">
        <v>260</v>
      </c>
    </row>
    <row r="5" customFormat="false" ht="15" hidden="false" customHeight="true" outlineLevel="0" collapsed="false">
      <c r="A5" s="4" t="s">
        <v>158</v>
      </c>
      <c r="B5" s="4" t="n">
        <v>6</v>
      </c>
      <c r="C5" s="7" t="n">
        <v>1849</v>
      </c>
      <c r="D5" s="7" t="n">
        <v>308</v>
      </c>
    </row>
    <row r="6" customFormat="false" ht="15" hidden="false" customHeight="true" outlineLevel="0" collapsed="false">
      <c r="A6" s="9" t="s">
        <v>159</v>
      </c>
      <c r="B6" s="9" t="n">
        <v>6</v>
      </c>
      <c r="C6" s="12" t="n">
        <v>2146</v>
      </c>
      <c r="D6" s="12" t="n">
        <v>358</v>
      </c>
    </row>
    <row r="7" customFormat="false" ht="15" hidden="false" customHeight="true" outlineLevel="0" collapsed="false">
      <c r="A7" s="4" t="s">
        <v>160</v>
      </c>
      <c r="B7" s="4" t="n">
        <v>6</v>
      </c>
      <c r="C7" s="7" t="n">
        <v>1259</v>
      </c>
      <c r="D7" s="7" t="n">
        <v>210</v>
      </c>
    </row>
    <row r="8" customFormat="false" ht="15" hidden="false" customHeight="true" outlineLevel="0" collapsed="false">
      <c r="A8" s="9" t="s">
        <v>161</v>
      </c>
      <c r="B8" s="9" t="n">
        <v>6</v>
      </c>
      <c r="C8" s="12" t="n">
        <v>2557</v>
      </c>
      <c r="D8" s="12" t="n">
        <v>426</v>
      </c>
    </row>
    <row r="9" customFormat="false" ht="15" hidden="false" customHeight="true" outlineLevel="0" collapsed="false">
      <c r="A9" s="4" t="s">
        <v>162</v>
      </c>
      <c r="B9" s="4" t="n">
        <v>6</v>
      </c>
      <c r="C9" s="7" t="n">
        <v>2154</v>
      </c>
      <c r="D9" s="7" t="n">
        <v>359</v>
      </c>
    </row>
    <row r="10" customFormat="false" ht="15" hidden="false" customHeight="true" outlineLevel="0" collapsed="false">
      <c r="A10" s="9" t="s">
        <v>163</v>
      </c>
      <c r="B10" s="9" t="n">
        <v>12</v>
      </c>
      <c r="C10" s="12" t="n">
        <v>4324</v>
      </c>
      <c r="D10" s="12" t="n">
        <v>360</v>
      </c>
    </row>
    <row r="11" customFormat="false" ht="15" hidden="false" customHeight="true" outlineLevel="0" collapsed="false">
      <c r="A11" s="4" t="s">
        <v>164</v>
      </c>
      <c r="B11" s="4" t="n">
        <v>14</v>
      </c>
      <c r="C11" s="7" t="n">
        <v>5075</v>
      </c>
      <c r="D11" s="7" t="n">
        <v>362</v>
      </c>
    </row>
    <row r="12" customFormat="false" ht="15" hidden="false" customHeight="true" outlineLevel="0" collapsed="false">
      <c r="A12" s="9" t="s">
        <v>165</v>
      </c>
      <c r="B12" s="9" t="n">
        <v>13</v>
      </c>
      <c r="C12" s="12" t="n">
        <v>4482</v>
      </c>
      <c r="D12" s="12" t="n">
        <v>345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4"/>
    <col collapsed="false" customWidth="true" hidden="false" outlineLevel="0" max="6" min="6" style="1" width="22"/>
    <col collapsed="false" customWidth="true" hidden="false" outlineLevel="0" max="7" min="7" style="1" width="20"/>
    <col collapsed="false" customWidth="true" hidden="false" outlineLevel="0" max="8" min="8" style="1" width="30"/>
  </cols>
  <sheetData>
    <row r="1" customFormat="false" ht="24" hidden="false" customHeight="true" outlineLevel="0" collapsed="false">
      <c r="A1" s="27" t="s">
        <v>166</v>
      </c>
      <c r="B1" s="27"/>
      <c r="C1" s="27"/>
      <c r="D1" s="27"/>
    </row>
    <row r="2" customFormat="false" ht="18" hidden="false" customHeight="true" outlineLevel="0" collapsed="false">
      <c r="A2" s="24" t="s">
        <v>167</v>
      </c>
      <c r="B2" s="24"/>
      <c r="C2" s="24"/>
      <c r="D2" s="24"/>
    </row>
    <row r="3" customFormat="false" ht="15" hidden="false" customHeight="true" outlineLevel="0" collapsed="false">
      <c r="A3" s="3" t="s">
        <v>6</v>
      </c>
      <c r="B3" s="3" t="s">
        <v>10</v>
      </c>
      <c r="C3" s="3" t="s">
        <v>1</v>
      </c>
      <c r="D3" s="3" t="s">
        <v>3</v>
      </c>
      <c r="F3" s="15" t="s">
        <v>168</v>
      </c>
      <c r="G3" s="15"/>
      <c r="H3" s="15"/>
    </row>
    <row r="4" customFormat="false" ht="15" hidden="false" customHeight="true" outlineLevel="0" collapsed="false">
      <c r="A4" s="11" t="n">
        <v>0.6</v>
      </c>
      <c r="B4" s="12" t="n">
        <v>183</v>
      </c>
      <c r="C4" s="9" t="s">
        <v>15</v>
      </c>
      <c r="D4" s="9" t="s">
        <v>16</v>
      </c>
      <c r="F4" s="28" t="s">
        <v>169</v>
      </c>
      <c r="G4" s="9" t="s">
        <v>170</v>
      </c>
      <c r="H4" s="9" t="s">
        <v>171</v>
      </c>
    </row>
    <row r="5" customFormat="false" ht="15" hidden="false" customHeight="true" outlineLevel="0" collapsed="false">
      <c r="A5" s="6" t="n">
        <v>20.6</v>
      </c>
      <c r="B5" s="7" t="n">
        <v>308</v>
      </c>
      <c r="C5" s="4" t="s">
        <v>20</v>
      </c>
      <c r="D5" s="4" t="s">
        <v>16</v>
      </c>
      <c r="F5" s="29" t="s">
        <v>172</v>
      </c>
      <c r="G5" s="4" t="s">
        <v>173</v>
      </c>
      <c r="H5" s="4" t="s">
        <v>174</v>
      </c>
    </row>
    <row r="6" customFormat="false" ht="15" hidden="false" customHeight="true" outlineLevel="0" collapsed="false">
      <c r="A6" s="11" t="n">
        <v>10.8</v>
      </c>
      <c r="B6" s="12" t="n">
        <v>270</v>
      </c>
      <c r="C6" s="9" t="s">
        <v>23</v>
      </c>
      <c r="D6" s="9" t="s">
        <v>16</v>
      </c>
      <c r="F6" s="28" t="s">
        <v>175</v>
      </c>
      <c r="G6" s="9" t="s">
        <v>176</v>
      </c>
      <c r="H6" s="9" t="s">
        <v>177</v>
      </c>
    </row>
    <row r="7" customFormat="false" ht="15" hidden="false" customHeight="true" outlineLevel="0" collapsed="false">
      <c r="A7" s="6" t="n">
        <v>3.2</v>
      </c>
      <c r="B7" s="7" t="n">
        <v>257</v>
      </c>
      <c r="C7" s="4" t="s">
        <v>25</v>
      </c>
      <c r="D7" s="4" t="s">
        <v>26</v>
      </c>
      <c r="F7" s="29" t="s">
        <v>178</v>
      </c>
      <c r="G7" s="4" t="s">
        <v>179</v>
      </c>
      <c r="H7" s="4" t="s">
        <v>180</v>
      </c>
    </row>
    <row r="8" customFormat="false" ht="15" hidden="false" customHeight="true" outlineLevel="0" collapsed="false">
      <c r="A8" s="11" t="n">
        <v>3.2</v>
      </c>
      <c r="B8" s="12" t="n">
        <v>198</v>
      </c>
      <c r="C8" s="9" t="s">
        <v>29</v>
      </c>
      <c r="D8" s="9" t="s">
        <v>30</v>
      </c>
      <c r="F8" s="28" t="s">
        <v>181</v>
      </c>
      <c r="G8" s="9" t="s">
        <v>182</v>
      </c>
      <c r="H8" s="9" t="s">
        <v>183</v>
      </c>
    </row>
    <row r="9" customFormat="false" ht="15" hidden="false" customHeight="true" outlineLevel="0" collapsed="false">
      <c r="A9" s="6" t="n">
        <v>32.6</v>
      </c>
      <c r="B9" s="7" t="n">
        <v>344</v>
      </c>
      <c r="C9" s="4" t="s">
        <v>31</v>
      </c>
      <c r="D9" s="4" t="s">
        <v>30</v>
      </c>
    </row>
    <row r="10" customFormat="false" ht="15" hidden="false" customHeight="true" outlineLevel="0" collapsed="false">
      <c r="A10" s="11" t="n">
        <v>28</v>
      </c>
      <c r="B10" s="12" t="n">
        <v>267</v>
      </c>
      <c r="C10" s="9" t="s">
        <v>34</v>
      </c>
      <c r="D10" s="9" t="s">
        <v>35</v>
      </c>
    </row>
    <row r="11" customFormat="false" ht="15" hidden="false" customHeight="true" outlineLevel="0" collapsed="false">
      <c r="A11" s="6" t="n">
        <v>25.3</v>
      </c>
      <c r="B11" s="7" t="n">
        <v>417</v>
      </c>
      <c r="C11" s="4" t="s">
        <v>36</v>
      </c>
      <c r="D11" s="4" t="s">
        <v>26</v>
      </c>
    </row>
    <row r="12" customFormat="false" ht="15" hidden="false" customHeight="true" outlineLevel="0" collapsed="false">
      <c r="A12" s="11" t="n">
        <v>19.3</v>
      </c>
      <c r="B12" s="12" t="n">
        <v>408</v>
      </c>
      <c r="C12" s="9" t="s">
        <v>37</v>
      </c>
      <c r="D12" s="9" t="s">
        <v>26</v>
      </c>
    </row>
    <row r="13" customFormat="false" ht="15" hidden="false" customHeight="true" outlineLevel="0" collapsed="false">
      <c r="A13" s="6" t="n">
        <v>44.9</v>
      </c>
      <c r="B13" s="7" t="n">
        <v>379</v>
      </c>
      <c r="C13" s="4" t="s">
        <v>38</v>
      </c>
      <c r="D13" s="4" t="s">
        <v>30</v>
      </c>
    </row>
    <row r="14" customFormat="false" ht="15" hidden="false" customHeight="true" outlineLevel="0" collapsed="false">
      <c r="A14" s="11" t="n">
        <v>4</v>
      </c>
      <c r="B14" s="12" t="n">
        <v>214</v>
      </c>
      <c r="C14" s="9" t="s">
        <v>39</v>
      </c>
      <c r="D14" s="9" t="s">
        <v>40</v>
      </c>
    </row>
    <row r="15" customFormat="false" ht="15" hidden="false" customHeight="true" outlineLevel="0" collapsed="false">
      <c r="A15" s="6" t="n">
        <v>3.8</v>
      </c>
      <c r="B15" s="7" t="n">
        <v>164</v>
      </c>
      <c r="C15" s="4" t="s">
        <v>42</v>
      </c>
      <c r="D15" s="4" t="s">
        <v>30</v>
      </c>
    </row>
    <row r="16" customFormat="false" ht="15" hidden="false" customHeight="true" outlineLevel="0" collapsed="false">
      <c r="A16" s="11" t="n">
        <v>33.9</v>
      </c>
      <c r="B16" s="12" t="n">
        <v>615</v>
      </c>
      <c r="C16" s="9" t="s">
        <v>43</v>
      </c>
      <c r="D16" s="9" t="s">
        <v>26</v>
      </c>
    </row>
    <row r="17" customFormat="false" ht="15" hidden="false" customHeight="true" outlineLevel="0" collapsed="false">
      <c r="A17" s="6" t="n">
        <v>32.2</v>
      </c>
      <c r="B17" s="7" t="n">
        <v>476</v>
      </c>
      <c r="C17" s="4" t="s">
        <v>44</v>
      </c>
      <c r="D17" s="4" t="s">
        <v>16</v>
      </c>
    </row>
    <row r="18" customFormat="false" ht="15" hidden="false" customHeight="true" outlineLevel="0" collapsed="false">
      <c r="A18" s="11" t="n">
        <v>6.9</v>
      </c>
      <c r="B18" s="12" t="n">
        <v>236</v>
      </c>
      <c r="C18" s="9" t="s">
        <v>45</v>
      </c>
      <c r="D18" s="9" t="s">
        <v>26</v>
      </c>
    </row>
    <row r="19" customFormat="false" ht="15" hidden="false" customHeight="true" outlineLevel="0" collapsed="false">
      <c r="A19" s="6" t="n">
        <v>13.9</v>
      </c>
      <c r="B19" s="7" t="n">
        <v>169</v>
      </c>
      <c r="C19" s="4" t="s">
        <v>46</v>
      </c>
      <c r="D19" s="4" t="s">
        <v>30</v>
      </c>
    </row>
    <row r="20" customFormat="false" ht="15" hidden="false" customHeight="true" outlineLevel="0" collapsed="false">
      <c r="A20" s="11" t="n">
        <v>13</v>
      </c>
      <c r="B20" s="12" t="n">
        <v>263</v>
      </c>
      <c r="C20" s="9" t="s">
        <v>47</v>
      </c>
      <c r="D20" s="9" t="s">
        <v>40</v>
      </c>
    </row>
    <row r="21" customFormat="false" ht="15" hidden="false" customHeight="true" outlineLevel="0" collapsed="false">
      <c r="A21" s="6" t="n">
        <v>30.6</v>
      </c>
      <c r="B21" s="7" t="n">
        <v>387</v>
      </c>
      <c r="C21" s="4" t="s">
        <v>48</v>
      </c>
      <c r="D21" s="4" t="s">
        <v>16</v>
      </c>
    </row>
    <row r="22" customFormat="false" ht="15" hidden="false" customHeight="true" outlineLevel="0" collapsed="false">
      <c r="A22" s="11" t="n">
        <v>47</v>
      </c>
      <c r="B22" s="12" t="n">
        <v>535</v>
      </c>
      <c r="C22" s="9" t="s">
        <v>49</v>
      </c>
      <c r="D22" s="9" t="s">
        <v>16</v>
      </c>
    </row>
    <row r="23" customFormat="false" ht="15" hidden="false" customHeight="true" outlineLevel="0" collapsed="false">
      <c r="A23" s="6" t="n">
        <v>1</v>
      </c>
      <c r="B23" s="7" t="n">
        <v>124</v>
      </c>
      <c r="C23" s="4" t="s">
        <v>50</v>
      </c>
      <c r="D23" s="4" t="s">
        <v>26</v>
      </c>
    </row>
    <row r="24" customFormat="false" ht="15" hidden="false" customHeight="true" outlineLevel="0" collapsed="false">
      <c r="A24" s="11" t="n">
        <v>2.2</v>
      </c>
      <c r="B24" s="12" t="n">
        <v>93</v>
      </c>
      <c r="C24" s="9" t="s">
        <v>51</v>
      </c>
      <c r="D24" s="9" t="s">
        <v>35</v>
      </c>
    </row>
    <row r="25" customFormat="false" ht="15" hidden="false" customHeight="true" outlineLevel="0" collapsed="false">
      <c r="A25" s="6" t="n">
        <v>15.1</v>
      </c>
      <c r="B25" s="7" t="n">
        <v>169</v>
      </c>
      <c r="C25" s="4" t="s">
        <v>52</v>
      </c>
      <c r="D25" s="4" t="s">
        <v>30</v>
      </c>
    </row>
    <row r="26" customFormat="false" ht="15" hidden="false" customHeight="true" outlineLevel="0" collapsed="false">
      <c r="A26" s="11" t="n">
        <v>5.4</v>
      </c>
      <c r="B26" s="12" t="n">
        <v>126</v>
      </c>
      <c r="C26" s="9" t="s">
        <v>53</v>
      </c>
      <c r="D26" s="9" t="s">
        <v>30</v>
      </c>
    </row>
    <row r="27" customFormat="false" ht="15" hidden="false" customHeight="true" outlineLevel="0" collapsed="false">
      <c r="A27" s="6" t="n">
        <v>7.8</v>
      </c>
      <c r="B27" s="7" t="n">
        <v>212</v>
      </c>
      <c r="C27" s="4" t="s">
        <v>54</v>
      </c>
      <c r="D27" s="4" t="s">
        <v>26</v>
      </c>
    </row>
    <row r="28" customFormat="false" ht="15" hidden="false" customHeight="true" outlineLevel="0" collapsed="false">
      <c r="A28" s="11" t="n">
        <v>42.4</v>
      </c>
      <c r="B28" s="12" t="n">
        <v>485</v>
      </c>
      <c r="C28" s="9" t="s">
        <v>55</v>
      </c>
      <c r="D28" s="9" t="s">
        <v>16</v>
      </c>
    </row>
    <row r="29" customFormat="false" ht="15" hidden="false" customHeight="true" outlineLevel="0" collapsed="false">
      <c r="A29" s="6" t="n">
        <v>20.1</v>
      </c>
      <c r="B29" s="7" t="n">
        <v>417</v>
      </c>
      <c r="C29" s="4" t="s">
        <v>56</v>
      </c>
      <c r="D29" s="4" t="s">
        <v>26</v>
      </c>
    </row>
    <row r="30" customFormat="false" ht="15" hidden="false" customHeight="true" outlineLevel="0" collapsed="false">
      <c r="A30" s="11" t="n">
        <v>37.9</v>
      </c>
      <c r="B30" s="12" t="n">
        <v>527</v>
      </c>
      <c r="C30" s="9" t="s">
        <v>57</v>
      </c>
      <c r="D30" s="9" t="s">
        <v>16</v>
      </c>
    </row>
    <row r="31" customFormat="false" ht="15" hidden="false" customHeight="true" outlineLevel="0" collapsed="false">
      <c r="A31" s="6" t="n">
        <v>10</v>
      </c>
      <c r="B31" s="7" t="n">
        <v>257</v>
      </c>
      <c r="C31" s="4" t="s">
        <v>58</v>
      </c>
      <c r="D31" s="4" t="s">
        <v>40</v>
      </c>
    </row>
    <row r="32" customFormat="false" ht="15" hidden="false" customHeight="true" outlineLevel="0" collapsed="false">
      <c r="A32" s="11" t="n">
        <v>11.1</v>
      </c>
      <c r="B32" s="12" t="n">
        <v>225</v>
      </c>
      <c r="C32" s="9" t="s">
        <v>59</v>
      </c>
      <c r="D32" s="9" t="s">
        <v>16</v>
      </c>
    </row>
    <row r="33" customFormat="false" ht="15" hidden="false" customHeight="true" outlineLevel="0" collapsed="false">
      <c r="A33" s="6" t="n">
        <v>46.4</v>
      </c>
      <c r="B33" s="7" t="n">
        <v>646</v>
      </c>
      <c r="C33" s="4" t="s">
        <v>60</v>
      </c>
      <c r="D33" s="4" t="s">
        <v>26</v>
      </c>
    </row>
    <row r="34" customFormat="false" ht="15" hidden="false" customHeight="true" outlineLevel="0" collapsed="false">
      <c r="A34" s="11" t="n">
        <v>40.6</v>
      </c>
      <c r="B34" s="12" t="n">
        <v>423</v>
      </c>
      <c r="C34" s="9" t="s">
        <v>61</v>
      </c>
      <c r="D34" s="9" t="s">
        <v>40</v>
      </c>
    </row>
    <row r="35" customFormat="false" ht="15" hidden="false" customHeight="true" outlineLevel="0" collapsed="false">
      <c r="A35" s="6" t="n">
        <v>9</v>
      </c>
      <c r="B35" s="7" t="n">
        <v>307</v>
      </c>
      <c r="C35" s="4" t="s">
        <v>62</v>
      </c>
      <c r="D35" s="4" t="s">
        <v>26</v>
      </c>
    </row>
    <row r="36" customFormat="false" ht="15" hidden="false" customHeight="true" outlineLevel="0" collapsed="false">
      <c r="A36" s="11" t="n">
        <v>37.9</v>
      </c>
      <c r="B36" s="12" t="n">
        <v>352</v>
      </c>
      <c r="C36" s="9" t="s">
        <v>63</v>
      </c>
      <c r="D36" s="9" t="s">
        <v>30</v>
      </c>
    </row>
    <row r="37" customFormat="false" ht="15" hidden="false" customHeight="true" outlineLevel="0" collapsed="false">
      <c r="A37" s="6" t="n">
        <v>27.9</v>
      </c>
      <c r="B37" s="7" t="n">
        <v>271</v>
      </c>
      <c r="C37" s="4" t="s">
        <v>64</v>
      </c>
      <c r="D37" s="4" t="s">
        <v>30</v>
      </c>
    </row>
    <row r="38" customFormat="false" ht="15" hidden="false" customHeight="true" outlineLevel="0" collapsed="false">
      <c r="A38" s="11" t="n">
        <v>38.8</v>
      </c>
      <c r="B38" s="12" t="n">
        <v>465</v>
      </c>
      <c r="C38" s="9" t="s">
        <v>65</v>
      </c>
      <c r="D38" s="9" t="s">
        <v>40</v>
      </c>
    </row>
    <row r="39" customFormat="false" ht="15" hidden="false" customHeight="true" outlineLevel="0" collapsed="false">
      <c r="A39" s="6" t="n">
        <v>17.8</v>
      </c>
      <c r="B39" s="7" t="n">
        <v>336</v>
      </c>
      <c r="C39" s="4" t="s">
        <v>66</v>
      </c>
      <c r="D39" s="4" t="s">
        <v>16</v>
      </c>
    </row>
    <row r="40" customFormat="false" ht="15" hidden="false" customHeight="true" outlineLevel="0" collapsed="false">
      <c r="A40" s="11" t="n">
        <v>32</v>
      </c>
      <c r="B40" s="12" t="n">
        <v>341</v>
      </c>
      <c r="C40" s="9" t="s">
        <v>67</v>
      </c>
      <c r="D40" s="9" t="s">
        <v>40</v>
      </c>
    </row>
    <row r="41" customFormat="false" ht="15" hidden="false" customHeight="true" outlineLevel="0" collapsed="false">
      <c r="A41" s="6" t="n">
        <v>49.5</v>
      </c>
      <c r="B41" s="7" t="n">
        <v>790</v>
      </c>
      <c r="C41" s="4" t="s">
        <v>68</v>
      </c>
      <c r="D41" s="4" t="s">
        <v>26</v>
      </c>
    </row>
    <row r="42" customFormat="false" ht="15" hidden="false" customHeight="true" outlineLevel="0" collapsed="false">
      <c r="A42" s="11" t="n">
        <v>32.1</v>
      </c>
      <c r="B42" s="12" t="n">
        <v>486</v>
      </c>
      <c r="C42" s="9" t="s">
        <v>69</v>
      </c>
      <c r="D42" s="9" t="s">
        <v>16</v>
      </c>
    </row>
    <row r="43" customFormat="false" ht="15" hidden="false" customHeight="true" outlineLevel="0" collapsed="false">
      <c r="A43" s="6" t="n">
        <v>14.8</v>
      </c>
      <c r="B43" s="7" t="n">
        <v>370</v>
      </c>
      <c r="C43" s="4" t="s">
        <v>70</v>
      </c>
      <c r="D43" s="4" t="s">
        <v>26</v>
      </c>
    </row>
    <row r="44" customFormat="false" ht="15" hidden="false" customHeight="true" outlineLevel="0" collapsed="false">
      <c r="A44" s="11" t="n">
        <v>37.8</v>
      </c>
      <c r="B44" s="12" t="n">
        <v>639</v>
      </c>
      <c r="C44" s="9" t="s">
        <v>71</v>
      </c>
      <c r="D44" s="9" t="s">
        <v>26</v>
      </c>
    </row>
    <row r="45" customFormat="false" ht="15" hidden="false" customHeight="true" outlineLevel="0" collapsed="false">
      <c r="A45" s="6" t="n">
        <v>10.7</v>
      </c>
      <c r="B45" s="7" t="n">
        <v>220</v>
      </c>
      <c r="C45" s="4" t="s">
        <v>72</v>
      </c>
      <c r="D45" s="4" t="s">
        <v>30</v>
      </c>
    </row>
    <row r="46" customFormat="false" ht="15" hidden="false" customHeight="true" outlineLevel="0" collapsed="false">
      <c r="A46" s="11" t="n">
        <v>31.8</v>
      </c>
      <c r="B46" s="12" t="n">
        <v>479</v>
      </c>
      <c r="C46" s="9" t="s">
        <v>73</v>
      </c>
      <c r="D46" s="9" t="s">
        <v>16</v>
      </c>
    </row>
    <row r="47" customFormat="false" ht="15" hidden="false" customHeight="true" outlineLevel="0" collapsed="false">
      <c r="A47" s="6" t="n">
        <v>39.4</v>
      </c>
      <c r="B47" s="7" t="n">
        <v>365</v>
      </c>
      <c r="C47" s="4" t="s">
        <v>74</v>
      </c>
      <c r="D47" s="4" t="s">
        <v>35</v>
      </c>
    </row>
    <row r="48" customFormat="false" ht="15" hidden="false" customHeight="true" outlineLevel="0" collapsed="false">
      <c r="A48" s="11" t="n">
        <v>7.5</v>
      </c>
      <c r="B48" s="12" t="n">
        <v>199</v>
      </c>
      <c r="C48" s="9" t="s">
        <v>75</v>
      </c>
      <c r="D48" s="9" t="s">
        <v>26</v>
      </c>
    </row>
    <row r="49" customFormat="false" ht="15" hidden="false" customHeight="true" outlineLevel="0" collapsed="false">
      <c r="A49" s="6" t="n">
        <v>4</v>
      </c>
      <c r="B49" s="7" t="n">
        <v>125</v>
      </c>
      <c r="C49" s="4" t="s">
        <v>76</v>
      </c>
      <c r="D49" s="4" t="s">
        <v>40</v>
      </c>
    </row>
    <row r="50" customFormat="false" ht="15" hidden="false" customHeight="true" outlineLevel="0" collapsed="false">
      <c r="A50" s="11" t="n">
        <v>18.7</v>
      </c>
      <c r="B50" s="12" t="n">
        <v>347</v>
      </c>
      <c r="C50" s="9" t="s">
        <v>77</v>
      </c>
      <c r="D50" s="9" t="s">
        <v>26</v>
      </c>
    </row>
    <row r="51" customFormat="false" ht="15" hidden="false" customHeight="true" outlineLevel="0" collapsed="false">
      <c r="A51" s="6" t="n">
        <v>36.2</v>
      </c>
      <c r="B51" s="7" t="n">
        <v>248</v>
      </c>
      <c r="C51" s="4" t="s">
        <v>78</v>
      </c>
      <c r="D51" s="4" t="s">
        <v>35</v>
      </c>
    </row>
    <row r="52" customFormat="false" ht="15" hidden="false" customHeight="true" outlineLevel="0" collapsed="false">
      <c r="A52" s="11" t="n">
        <v>38.7</v>
      </c>
      <c r="B52" s="12" t="n">
        <v>505</v>
      </c>
      <c r="C52" s="9" t="s">
        <v>79</v>
      </c>
      <c r="D52" s="9" t="s">
        <v>40</v>
      </c>
    </row>
    <row r="53" customFormat="false" ht="15" hidden="false" customHeight="true" outlineLevel="0" collapsed="false">
      <c r="A53" s="6" t="n">
        <v>40.8</v>
      </c>
      <c r="B53" s="7" t="n">
        <v>647</v>
      </c>
      <c r="C53" s="4" t="s">
        <v>80</v>
      </c>
      <c r="D53" s="4" t="s">
        <v>26</v>
      </c>
    </row>
    <row r="54" customFormat="false" ht="15" hidden="false" customHeight="true" outlineLevel="0" collapsed="false">
      <c r="A54" s="11" t="n">
        <v>27</v>
      </c>
      <c r="B54" s="12" t="n">
        <v>229</v>
      </c>
      <c r="C54" s="9" t="s">
        <v>81</v>
      </c>
      <c r="D54" s="9" t="s">
        <v>35</v>
      </c>
    </row>
    <row r="55" customFormat="false" ht="15" hidden="false" customHeight="true" outlineLevel="0" collapsed="false">
      <c r="A55" s="6" t="n">
        <v>34.7</v>
      </c>
      <c r="B55" s="7" t="n">
        <v>383</v>
      </c>
      <c r="C55" s="4" t="s">
        <v>82</v>
      </c>
      <c r="D55" s="4" t="s">
        <v>40</v>
      </c>
    </row>
    <row r="56" customFormat="false" ht="15" hidden="false" customHeight="true" outlineLevel="0" collapsed="false">
      <c r="A56" s="11" t="n">
        <v>8.1</v>
      </c>
      <c r="B56" s="12" t="n">
        <v>221</v>
      </c>
      <c r="C56" s="9" t="s">
        <v>83</v>
      </c>
      <c r="D56" s="9" t="s">
        <v>30</v>
      </c>
    </row>
    <row r="57" customFormat="false" ht="15" hidden="false" customHeight="true" outlineLevel="0" collapsed="false">
      <c r="A57" s="6" t="n">
        <v>13.7</v>
      </c>
      <c r="B57" s="7" t="n">
        <v>308</v>
      </c>
      <c r="C57" s="4" t="s">
        <v>84</v>
      </c>
      <c r="D57" s="4" t="s">
        <v>26</v>
      </c>
    </row>
    <row r="58" customFormat="false" ht="15" hidden="false" customHeight="true" outlineLevel="0" collapsed="false">
      <c r="A58" s="11" t="n">
        <v>4.2</v>
      </c>
      <c r="B58" s="12" t="n">
        <v>180</v>
      </c>
      <c r="C58" s="9" t="s">
        <v>85</v>
      </c>
      <c r="D58" s="9" t="s">
        <v>16</v>
      </c>
    </row>
    <row r="59" customFormat="false" ht="15" hidden="false" customHeight="true" outlineLevel="0" collapsed="false">
      <c r="A59" s="6" t="n">
        <v>4.3</v>
      </c>
      <c r="B59" s="7" t="n">
        <v>90</v>
      </c>
      <c r="C59" s="4" t="s">
        <v>86</v>
      </c>
      <c r="D59" s="4" t="s">
        <v>35</v>
      </c>
    </row>
    <row r="60" customFormat="false" ht="15" hidden="false" customHeight="true" outlineLevel="0" collapsed="false">
      <c r="A60" s="11" t="n">
        <v>3.6</v>
      </c>
      <c r="B60" s="12" t="n">
        <v>153</v>
      </c>
      <c r="C60" s="9" t="s">
        <v>87</v>
      </c>
      <c r="D60" s="9" t="s">
        <v>30</v>
      </c>
    </row>
    <row r="61" customFormat="false" ht="15" hidden="false" customHeight="true" outlineLevel="0" collapsed="false">
      <c r="A61" s="6" t="n">
        <v>40.1</v>
      </c>
      <c r="B61" s="7" t="n">
        <v>675</v>
      </c>
      <c r="C61" s="4" t="s">
        <v>88</v>
      </c>
      <c r="D61" s="4" t="s">
        <v>26</v>
      </c>
    </row>
    <row r="62" customFormat="false" ht="15" hidden="false" customHeight="true" outlineLevel="0" collapsed="false">
      <c r="A62" s="11" t="n">
        <v>41.2</v>
      </c>
      <c r="B62" s="12" t="n">
        <v>274</v>
      </c>
      <c r="C62" s="9" t="s">
        <v>89</v>
      </c>
      <c r="D62" s="9" t="s">
        <v>35</v>
      </c>
    </row>
    <row r="63" customFormat="false" ht="15" hidden="false" customHeight="true" outlineLevel="0" collapsed="false">
      <c r="A63" s="6" t="n">
        <v>14.7</v>
      </c>
      <c r="B63" s="7" t="n">
        <v>243</v>
      </c>
      <c r="C63" s="4" t="s">
        <v>90</v>
      </c>
      <c r="D63" s="4" t="s">
        <v>30</v>
      </c>
    </row>
    <row r="64" customFormat="false" ht="15" hidden="false" customHeight="true" outlineLevel="0" collapsed="false">
      <c r="A64" s="11" t="n">
        <v>36</v>
      </c>
      <c r="B64" s="12" t="n">
        <v>595</v>
      </c>
      <c r="C64" s="9" t="s">
        <v>91</v>
      </c>
      <c r="D64" s="9" t="s">
        <v>26</v>
      </c>
    </row>
    <row r="65" customFormat="false" ht="15" hidden="false" customHeight="true" outlineLevel="0" collapsed="false">
      <c r="A65" s="6" t="n">
        <v>13.5</v>
      </c>
      <c r="B65" s="7" t="n">
        <v>287</v>
      </c>
      <c r="C65" s="4" t="s">
        <v>92</v>
      </c>
      <c r="D65" s="4" t="s">
        <v>40</v>
      </c>
    </row>
    <row r="66" customFormat="false" ht="15" hidden="false" customHeight="true" outlineLevel="0" collapsed="false">
      <c r="A66" s="11" t="n">
        <v>19.7</v>
      </c>
      <c r="B66" s="12" t="n">
        <v>302</v>
      </c>
      <c r="C66" s="9" t="s">
        <v>93</v>
      </c>
      <c r="D66" s="9" t="s">
        <v>40</v>
      </c>
    </row>
    <row r="67" customFormat="false" ht="15" hidden="false" customHeight="true" outlineLevel="0" collapsed="false">
      <c r="A67" s="6" t="n">
        <v>25.9</v>
      </c>
      <c r="B67" s="7" t="n">
        <v>431</v>
      </c>
      <c r="C67" s="4" t="s">
        <v>94</v>
      </c>
      <c r="D67" s="4" t="s">
        <v>26</v>
      </c>
    </row>
    <row r="68" customFormat="false" ht="15" hidden="false" customHeight="true" outlineLevel="0" collapsed="false">
      <c r="A68" s="11" t="n">
        <v>20.9</v>
      </c>
      <c r="B68" s="12" t="n">
        <v>345</v>
      </c>
      <c r="C68" s="9" t="s">
        <v>95</v>
      </c>
      <c r="D68" s="9" t="s">
        <v>16</v>
      </c>
    </row>
    <row r="69" customFormat="false" ht="15" hidden="false" customHeight="true" outlineLevel="0" collapsed="false">
      <c r="A69" s="6" t="n">
        <v>22.1</v>
      </c>
      <c r="B69" s="7" t="n">
        <v>311</v>
      </c>
      <c r="C69" s="4" t="s">
        <v>96</v>
      </c>
      <c r="D69" s="4" t="s">
        <v>16</v>
      </c>
    </row>
    <row r="70" customFormat="false" ht="15" hidden="false" customHeight="true" outlineLevel="0" collapsed="false">
      <c r="A70" s="11" t="n">
        <v>40</v>
      </c>
      <c r="B70" s="12" t="n">
        <v>454</v>
      </c>
      <c r="C70" s="9" t="s">
        <v>97</v>
      </c>
      <c r="D70" s="9" t="s">
        <v>40</v>
      </c>
    </row>
    <row r="71" customFormat="false" ht="15" hidden="false" customHeight="true" outlineLevel="0" collapsed="false">
      <c r="A71" s="6" t="n">
        <v>3</v>
      </c>
      <c r="B71" s="7" t="n">
        <v>194</v>
      </c>
      <c r="C71" s="4" t="s">
        <v>98</v>
      </c>
      <c r="D71" s="4" t="s">
        <v>40</v>
      </c>
    </row>
    <row r="72" customFormat="false" ht="15" hidden="false" customHeight="true" outlineLevel="0" collapsed="false">
      <c r="A72" s="11" t="n">
        <v>2.4</v>
      </c>
      <c r="B72" s="12" t="n">
        <v>210</v>
      </c>
      <c r="C72" s="9" t="s">
        <v>99</v>
      </c>
      <c r="D72" s="9" t="s">
        <v>16</v>
      </c>
    </row>
    <row r="73" customFormat="false" ht="15" hidden="false" customHeight="true" outlineLevel="0" collapsed="false">
      <c r="A73" s="6" t="n">
        <v>7.7</v>
      </c>
      <c r="B73" s="7" t="n">
        <v>221</v>
      </c>
      <c r="C73" s="4" t="s">
        <v>100</v>
      </c>
      <c r="D73" s="4" t="s">
        <v>40</v>
      </c>
    </row>
    <row r="74" customFormat="false" ht="15" hidden="false" customHeight="true" outlineLevel="0" collapsed="false">
      <c r="A74" s="11" t="n">
        <v>22.6</v>
      </c>
      <c r="B74" s="12" t="n">
        <v>314</v>
      </c>
      <c r="C74" s="9" t="s">
        <v>101</v>
      </c>
      <c r="D74" s="9" t="s">
        <v>30</v>
      </c>
    </row>
    <row r="75" customFormat="false" ht="15" hidden="false" customHeight="true" outlineLevel="0" collapsed="false">
      <c r="A75" s="6" t="n">
        <v>36</v>
      </c>
      <c r="B75" s="7" t="n">
        <v>490</v>
      </c>
      <c r="C75" s="4" t="s">
        <v>102</v>
      </c>
      <c r="D75" s="4" t="s">
        <v>16</v>
      </c>
    </row>
    <row r="76" customFormat="false" ht="15" hidden="false" customHeight="true" outlineLevel="0" collapsed="false">
      <c r="A76" s="11" t="n">
        <v>28</v>
      </c>
      <c r="B76" s="12" t="n">
        <v>317</v>
      </c>
      <c r="C76" s="9" t="s">
        <v>103</v>
      </c>
      <c r="D76" s="9" t="s">
        <v>40</v>
      </c>
    </row>
    <row r="77" customFormat="false" ht="15" hidden="false" customHeight="true" outlineLevel="0" collapsed="false">
      <c r="A77" s="6" t="n">
        <v>45.2</v>
      </c>
      <c r="B77" s="7" t="n">
        <v>642</v>
      </c>
      <c r="C77" s="4" t="s">
        <v>104</v>
      </c>
      <c r="D77" s="4" t="s">
        <v>26</v>
      </c>
    </row>
    <row r="78" customFormat="false" ht="15" hidden="false" customHeight="true" outlineLevel="0" collapsed="false">
      <c r="A78" s="11" t="n">
        <v>5.3</v>
      </c>
      <c r="B78" s="12" t="n">
        <v>251</v>
      </c>
      <c r="C78" s="9" t="s">
        <v>105</v>
      </c>
      <c r="D78" s="9" t="s">
        <v>16</v>
      </c>
    </row>
  </sheetData>
  <mergeCells count="3">
    <mergeCell ref="A1:D1"/>
    <mergeCell ref="A2:D2"/>
    <mergeCell ref="F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4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7" min="7" style="1" width="4"/>
    <col collapsed="false" customWidth="true" hidden="false" outlineLevel="0" max="8" min="8" style="1" width="16"/>
    <col collapsed="false" customWidth="true" hidden="false" outlineLevel="0" max="9" min="9" style="1" width="14"/>
    <col collapsed="false" customWidth="true" hidden="false" outlineLevel="0" max="10" min="10" style="1" width="4"/>
    <col collapsed="false" customWidth="true" hidden="false" outlineLevel="0" max="11" min="11" style="1" width="16"/>
    <col collapsed="false" customWidth="true" hidden="false" outlineLevel="0" max="12" min="12" style="1" width="12"/>
  </cols>
  <sheetData>
    <row r="2" customFormat="false" ht="39.75" hidden="false" customHeight="true" outlineLevel="0" collapsed="false">
      <c r="B2" s="30" t="s">
        <v>184</v>
      </c>
      <c r="C2" s="30"/>
      <c r="D2" s="30"/>
      <c r="E2" s="30"/>
      <c r="F2" s="30"/>
      <c r="G2" s="30"/>
      <c r="H2" s="30"/>
      <c r="I2" s="30"/>
      <c r="J2" s="30"/>
      <c r="K2" s="30"/>
      <c r="L2" s="30"/>
    </row>
    <row r="3" customFormat="false" ht="15.75" hidden="false" customHeight="true" outlineLevel="0" collapsed="false">
      <c r="B3" s="31" t="s">
        <v>185</v>
      </c>
      <c r="C3" s="31"/>
      <c r="D3" s="31"/>
      <c r="E3" s="31"/>
      <c r="F3" s="31"/>
      <c r="G3" s="31"/>
      <c r="H3" s="31"/>
      <c r="I3" s="31"/>
      <c r="J3" s="31"/>
      <c r="K3" s="31"/>
      <c r="L3" s="31"/>
    </row>
    <row r="5" customFormat="false" ht="19.5" hidden="false" customHeight="true" outlineLevel="0" collapsed="false">
      <c r="B5" s="32" t="s">
        <v>186</v>
      </c>
      <c r="C5" s="32"/>
      <c r="E5" s="33" t="s">
        <v>187</v>
      </c>
      <c r="F5" s="33"/>
      <c r="H5" s="34" t="s">
        <v>188</v>
      </c>
      <c r="I5" s="34"/>
      <c r="K5" s="35" t="s">
        <v>189</v>
      </c>
      <c r="L5" s="35"/>
    </row>
    <row r="6" customFormat="false" ht="30" hidden="false" customHeight="true" outlineLevel="0" collapsed="false">
      <c r="B6" s="36" t="n">
        <f aca="false">SUM(Data!J3:J77)</f>
        <v>25406</v>
      </c>
      <c r="C6" s="36"/>
      <c r="E6" s="37" t="n">
        <f aca="false">COUNT(Data!J3:J77)</f>
        <v>75</v>
      </c>
      <c r="F6" s="37"/>
      <c r="H6" s="38" t="n">
        <f aca="false">AVERAGE(Data!L3:L77)</f>
        <v>3.84266666666667</v>
      </c>
      <c r="I6" s="38"/>
      <c r="K6" s="39" t="n">
        <f aca="false">IFERROR(COUNTIF(Data!M3:M77,"Yes")/COUNT(Data!M3:M77),0)</f>
        <v>0</v>
      </c>
      <c r="L6" s="39"/>
    </row>
    <row r="8" customFormat="false" ht="19.5" hidden="false" customHeight="true" outlineLevel="0" collapsed="false">
      <c r="B8" s="40" t="s">
        <v>190</v>
      </c>
      <c r="C8" s="40"/>
      <c r="D8" s="40"/>
      <c r="E8" s="40"/>
      <c r="F8" s="40"/>
      <c r="G8" s="40"/>
      <c r="H8" s="40"/>
      <c r="I8" s="40"/>
      <c r="J8" s="40"/>
      <c r="K8" s="40"/>
      <c r="L8" s="40"/>
    </row>
    <row r="10" customFormat="false" ht="15" hidden="false" customHeight="true" outlineLevel="0" collapsed="false">
      <c r="B10" s="15" t="s">
        <v>191</v>
      </c>
      <c r="C10" s="15"/>
      <c r="E10" s="15" t="s">
        <v>192</v>
      </c>
      <c r="F10" s="15"/>
    </row>
    <row r="11" customFormat="false" ht="15" hidden="false" customHeight="true" outlineLevel="0" collapsed="false">
      <c r="A11" s="41"/>
      <c r="B11" s="42" t="s">
        <v>193</v>
      </c>
      <c r="C11" s="43" t="s">
        <v>194</v>
      </c>
      <c r="E11" s="42" t="s">
        <v>195</v>
      </c>
      <c r="F11" s="41" t="s">
        <v>196</v>
      </c>
    </row>
    <row r="12" customFormat="false" ht="15" hidden="false" customHeight="true" outlineLevel="0" collapsed="false">
      <c r="B12" s="9" t="s">
        <v>26</v>
      </c>
      <c r="C12" s="44" t="n">
        <v>9282</v>
      </c>
      <c r="E12" s="9" t="s">
        <v>27</v>
      </c>
      <c r="F12" s="45" t="n">
        <v>4.15</v>
      </c>
    </row>
    <row r="13" customFormat="false" ht="15" hidden="false" customHeight="true" outlineLevel="0" collapsed="false">
      <c r="B13" s="4" t="s">
        <v>16</v>
      </c>
      <c r="C13" s="46" t="n">
        <v>6484</v>
      </c>
      <c r="E13" s="4" t="s">
        <v>33</v>
      </c>
      <c r="F13" s="47" t="n">
        <v>3.98</v>
      </c>
    </row>
    <row r="14" customFormat="false" ht="15" hidden="false" customHeight="true" outlineLevel="0" collapsed="false">
      <c r="B14" s="9" t="s">
        <v>40</v>
      </c>
      <c r="C14" s="44" t="n">
        <v>4751</v>
      </c>
      <c r="E14" s="9" t="s">
        <v>18</v>
      </c>
      <c r="F14" s="45" t="n">
        <v>3.62</v>
      </c>
    </row>
    <row r="15" customFormat="false" ht="15" hidden="false" customHeight="true" outlineLevel="0" collapsed="false">
      <c r="B15" s="4" t="s">
        <v>30</v>
      </c>
      <c r="C15" s="46" t="n">
        <v>3323</v>
      </c>
      <c r="E15" s="4" t="s">
        <v>22</v>
      </c>
      <c r="F15" s="47" t="n">
        <v>3.54</v>
      </c>
    </row>
    <row r="16" customFormat="false" ht="15" hidden="false" customHeight="true" outlineLevel="0" collapsed="false">
      <c r="B16" s="9" t="s">
        <v>35</v>
      </c>
      <c r="C16" s="44" t="n">
        <v>1566</v>
      </c>
    </row>
    <row r="19" customFormat="false" ht="19.5" hidden="false" customHeight="true" outlineLevel="0" collapsed="false">
      <c r="B19" s="48" t="s">
        <v>197</v>
      </c>
      <c r="C19" s="48"/>
      <c r="D19" s="48"/>
      <c r="E19" s="48"/>
      <c r="F19" s="48"/>
      <c r="G19" s="48"/>
      <c r="H19" s="48"/>
      <c r="I19" s="48"/>
      <c r="J19" s="48"/>
      <c r="K19" s="48"/>
      <c r="L19" s="48"/>
    </row>
    <row r="20" customFormat="false" ht="19.5" hidden="false" customHeight="true" outlineLevel="0" collapsed="false"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</row>
    <row r="21" customFormat="false" ht="19.5" hidden="false" customHeight="true" outlineLevel="0" collapsed="false"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</row>
  </sheetData>
  <mergeCells count="14">
    <mergeCell ref="B2:L2"/>
    <mergeCell ref="B3:L3"/>
    <mergeCell ref="B5:C5"/>
    <mergeCell ref="E5:F5"/>
    <mergeCell ref="H5:I5"/>
    <mergeCell ref="K5:L5"/>
    <mergeCell ref="B6:C6"/>
    <mergeCell ref="E6:F6"/>
    <mergeCell ref="H6:I6"/>
    <mergeCell ref="K6:L6"/>
    <mergeCell ref="B8:L8"/>
    <mergeCell ref="B10:C10"/>
    <mergeCell ref="E10:F10"/>
    <mergeCell ref="B19:L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60"/>
    <col collapsed="false" customWidth="true" hidden="false" outlineLevel="0" max="3" min="3" style="1" width="20"/>
  </cols>
  <sheetData>
    <row r="1" customFormat="false" ht="25.5" hidden="false" customHeight="true" outlineLevel="0" collapsed="false">
      <c r="A1" s="13" t="s">
        <v>198</v>
      </c>
      <c r="B1" s="13"/>
      <c r="C1" s="13"/>
    </row>
    <row r="3" customFormat="false" ht="19.5" hidden="false" customHeight="true" outlineLevel="0" collapsed="false">
      <c r="A3" s="15" t="s">
        <v>199</v>
      </c>
      <c r="B3" s="15"/>
      <c r="C3" s="15"/>
    </row>
    <row r="4" customFormat="false" ht="31.5" hidden="false" customHeight="true" outlineLevel="0" collapsed="false">
      <c r="A4" s="49" t="s">
        <v>200</v>
      </c>
      <c r="B4" s="50" t="s">
        <v>201</v>
      </c>
      <c r="C4" s="50"/>
    </row>
    <row r="5" customFormat="false" ht="31.5" hidden="false" customHeight="true" outlineLevel="0" collapsed="false">
      <c r="A5" s="49" t="s">
        <v>200</v>
      </c>
      <c r="B5" s="50" t="s">
        <v>202</v>
      </c>
      <c r="C5" s="50"/>
    </row>
    <row r="6" customFormat="false" ht="31.5" hidden="false" customHeight="true" outlineLevel="0" collapsed="false">
      <c r="A6" s="49" t="s">
        <v>200</v>
      </c>
      <c r="B6" s="50" t="s">
        <v>203</v>
      </c>
      <c r="C6" s="50"/>
    </row>
    <row r="7" customFormat="false" ht="31.5" hidden="false" customHeight="true" outlineLevel="0" collapsed="false">
      <c r="A7" s="49" t="s">
        <v>200</v>
      </c>
      <c r="B7" s="50" t="s">
        <v>204</v>
      </c>
      <c r="C7" s="50"/>
    </row>
    <row r="8" customFormat="false" ht="31.5" hidden="false" customHeight="true" outlineLevel="0" collapsed="false">
      <c r="A8" s="49" t="s">
        <v>200</v>
      </c>
      <c r="B8" s="50" t="s">
        <v>205</v>
      </c>
      <c r="C8" s="50"/>
    </row>
    <row r="10" customFormat="false" ht="19.5" hidden="false" customHeight="true" outlineLevel="0" collapsed="false">
      <c r="A10" s="51" t="s">
        <v>206</v>
      </c>
      <c r="B10" s="51"/>
      <c r="C10" s="51"/>
    </row>
    <row r="11" customFormat="false" ht="31.5" hidden="false" customHeight="true" outlineLevel="0" collapsed="false">
      <c r="A11" s="52" t="s">
        <v>200</v>
      </c>
      <c r="B11" s="50" t="s">
        <v>207</v>
      </c>
      <c r="C11" s="50"/>
    </row>
    <row r="12" customFormat="false" ht="31.5" hidden="false" customHeight="true" outlineLevel="0" collapsed="false">
      <c r="A12" s="52" t="s">
        <v>200</v>
      </c>
      <c r="B12" s="50" t="s">
        <v>208</v>
      </c>
      <c r="C12" s="50"/>
    </row>
    <row r="13" customFormat="false" ht="31.5" hidden="false" customHeight="true" outlineLevel="0" collapsed="false">
      <c r="A13" s="52" t="s">
        <v>200</v>
      </c>
      <c r="B13" s="50" t="s">
        <v>209</v>
      </c>
      <c r="C13" s="50"/>
    </row>
    <row r="14" customFormat="false" ht="31.5" hidden="false" customHeight="true" outlineLevel="0" collapsed="false">
      <c r="A14" s="52" t="s">
        <v>200</v>
      </c>
      <c r="B14" s="50" t="s">
        <v>210</v>
      </c>
      <c r="C14" s="50"/>
    </row>
    <row r="16" customFormat="false" ht="19.5" hidden="false" customHeight="true" outlineLevel="0" collapsed="false">
      <c r="A16" s="53" t="s">
        <v>211</v>
      </c>
      <c r="B16" s="53"/>
      <c r="C16" s="53"/>
    </row>
    <row r="17" customFormat="false" ht="31.5" hidden="false" customHeight="true" outlineLevel="0" collapsed="false">
      <c r="A17" s="54" t="s">
        <v>200</v>
      </c>
      <c r="B17" s="50" t="s">
        <v>212</v>
      </c>
      <c r="C17" s="50"/>
    </row>
    <row r="18" customFormat="false" ht="31.5" hidden="false" customHeight="true" outlineLevel="0" collapsed="false">
      <c r="A18" s="54" t="s">
        <v>200</v>
      </c>
      <c r="B18" s="50" t="s">
        <v>213</v>
      </c>
      <c r="C18" s="50"/>
    </row>
    <row r="19" customFormat="false" ht="31.5" hidden="false" customHeight="true" outlineLevel="0" collapsed="false">
      <c r="A19" s="54" t="s">
        <v>200</v>
      </c>
      <c r="B19" s="50" t="s">
        <v>214</v>
      </c>
      <c r="C19" s="50"/>
    </row>
    <row r="20" customFormat="false" ht="31.5" hidden="false" customHeight="true" outlineLevel="0" collapsed="false">
      <c r="A20" s="54" t="s">
        <v>200</v>
      </c>
      <c r="B20" s="50" t="s">
        <v>215</v>
      </c>
      <c r="C20" s="50"/>
    </row>
    <row r="22" customFormat="false" ht="19.5" hidden="false" customHeight="true" outlineLevel="0" collapsed="false">
      <c r="A22" s="55" t="s">
        <v>216</v>
      </c>
      <c r="B22" s="55"/>
      <c r="C22" s="55"/>
    </row>
    <row r="23" customFormat="false" ht="31.5" hidden="false" customHeight="true" outlineLevel="0" collapsed="false">
      <c r="A23" s="56" t="s">
        <v>200</v>
      </c>
      <c r="B23" s="50" t="s">
        <v>217</v>
      </c>
      <c r="C23" s="50"/>
    </row>
    <row r="24" customFormat="false" ht="31.5" hidden="false" customHeight="true" outlineLevel="0" collapsed="false">
      <c r="A24" s="56" t="s">
        <v>200</v>
      </c>
      <c r="B24" s="50" t="s">
        <v>218</v>
      </c>
      <c r="C24" s="50"/>
    </row>
    <row r="25" customFormat="false" ht="31.5" hidden="false" customHeight="true" outlineLevel="0" collapsed="false">
      <c r="A25" s="56" t="s">
        <v>200</v>
      </c>
      <c r="B25" s="50" t="s">
        <v>219</v>
      </c>
      <c r="C25" s="50"/>
    </row>
    <row r="27" customFormat="false" ht="19.5" hidden="false" customHeight="true" outlineLevel="0" collapsed="false">
      <c r="A27" s="57" t="s">
        <v>220</v>
      </c>
      <c r="B27" s="57"/>
      <c r="C27" s="57"/>
    </row>
    <row r="28" customFormat="false" ht="31.5" hidden="false" customHeight="true" outlineLevel="0" collapsed="false">
      <c r="A28" s="58" t="s">
        <v>200</v>
      </c>
      <c r="B28" s="50" t="s">
        <v>221</v>
      </c>
      <c r="C28" s="50"/>
    </row>
    <row r="29" customFormat="false" ht="31.5" hidden="false" customHeight="true" outlineLevel="0" collapsed="false">
      <c r="A29" s="58" t="s">
        <v>200</v>
      </c>
      <c r="B29" s="50" t="s">
        <v>222</v>
      </c>
      <c r="C29" s="50"/>
    </row>
    <row r="30" customFormat="false" ht="31.5" hidden="false" customHeight="true" outlineLevel="0" collapsed="false">
      <c r="A30" s="58" t="s">
        <v>200</v>
      </c>
      <c r="B30" s="50" t="s">
        <v>223</v>
      </c>
      <c r="C30" s="50"/>
    </row>
  </sheetData>
  <mergeCells count="25">
    <mergeCell ref="A1:C1"/>
    <mergeCell ref="A3:C3"/>
    <mergeCell ref="B4:C4"/>
    <mergeCell ref="B5:C5"/>
    <mergeCell ref="B6:C6"/>
    <mergeCell ref="B7:C7"/>
    <mergeCell ref="B8:C8"/>
    <mergeCell ref="A10:C10"/>
    <mergeCell ref="B11:C11"/>
    <mergeCell ref="B12:C12"/>
    <mergeCell ref="B13:C13"/>
    <mergeCell ref="B14:C14"/>
    <mergeCell ref="A16:C16"/>
    <mergeCell ref="B17:C17"/>
    <mergeCell ref="B18:C18"/>
    <mergeCell ref="B19:C19"/>
    <mergeCell ref="B20:C20"/>
    <mergeCell ref="A22:C22"/>
    <mergeCell ref="B23:C23"/>
    <mergeCell ref="B24:C24"/>
    <mergeCell ref="B25:C25"/>
    <mergeCell ref="A27:C27"/>
    <mergeCell ref="B28:C28"/>
    <mergeCell ref="B29:C29"/>
    <mergeCell ref="B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2026-05-03T19:57:48Z</dcterms:created>
  <dc:creator>openpyxl</dc:creator>
  <dc:description/>
  <dc:language>en-US</dc:language>
  <cp:lastModifiedBy/>
  <dcterms:modified xsi:type="dcterms:W3CDTF">2026-05-03T19:58:19Z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