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T_Route_Revenue" sheetId="4" state="visible" r:id="rId4"/>
    <sheet xmlns:r="http://schemas.openxmlformats.org/officeDocument/2006/relationships" name="ScatterData" sheetId="5" state="visible" r:id="rId5"/>
    <sheet xmlns:r="http://schemas.openxmlformats.org/officeDocument/2006/relationships" name="Interpretation" sheetId="6" state="visible" r:id="rId6"/>
  </sheets>
  <definedNames>
    <definedName name="_xlnm._FilterDatabase" localSheetId="0" hidden="1">'Deliveries'!$A$1:$K$76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"/>
    <numFmt numFmtId="166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375623"/>
      <sz val="10"/>
    </font>
    <font>
      <name val="Arial"/>
      <b val="1"/>
      <color rgb="00FFFFFF"/>
      <sz val="16"/>
    </font>
    <font>
      <name val="Arial"/>
      <b val="1"/>
      <color rgb="001F4E79"/>
      <sz val="11"/>
    </font>
    <font>
      <name val="Arial"/>
      <i val="1"/>
      <color rgb="00375623"/>
      <sz val="10"/>
    </font>
    <font>
      <b val="1"/>
    </font>
    <font>
      <name val="Arial"/>
      <i val="1"/>
      <color rgb="00C00000"/>
      <sz val="9"/>
    </font>
    <font>
      <name val="Arial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medium">
        <color rgb="002E75B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right" vertical="center"/>
    </xf>
    <xf numFmtId="3" fontId="2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3" fontId="0" fillId="6" borderId="0" applyAlignment="1" pivotButton="0" quotePrefix="0" xfId="0">
      <alignment horizontal="right"/>
    </xf>
    <xf numFmtId="4" fontId="0" fillId="6" borderId="0" applyAlignment="1" pivotButton="0" quotePrefix="0" xfId="0">
      <alignment horizontal="right"/>
    </xf>
    <xf numFmtId="2" fontId="0" fillId="6" borderId="0" applyAlignment="1" pivotButton="0" quotePrefix="0" xfId="0">
      <alignment horizontal="right"/>
    </xf>
    <xf numFmtId="0" fontId="6" fillId="2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/>
    </xf>
    <xf numFmtId="0" fontId="2" fillId="0" borderId="0" pivotButton="0" quotePrefix="0" xfId="0"/>
    <xf numFmtId="3" fontId="2" fillId="3" borderId="0" pivotButton="0" quotePrefix="0" xfId="0"/>
    <xf numFmtId="166" fontId="0" fillId="0" borderId="0" pivotButton="0" quotePrefix="0" xfId="0"/>
    <xf numFmtId="3" fontId="9" fillId="0" borderId="0" pivotButton="0" quotePrefix="0" xfId="0"/>
    <xf numFmtId="0" fontId="10" fillId="0" borderId="0" pivotButton="0" quotePrefix="0" xfId="0"/>
    <xf numFmtId="0" fontId="11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vertical="top" wrapText="1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right" vertical="center"/>
    </xf>
    <xf numFmtId="164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right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6" customWidth="1" min="4" max="4"/>
    <col width="18" customWidth="1" min="5" max="5"/>
    <col width="18" customWidth="1" min="6" max="6"/>
    <col width="19" customWidth="1" min="7" max="7"/>
    <col width="13" customWidth="1" min="8" max="8"/>
    <col width="10" customWidth="1" min="9" max="9"/>
    <col width="17" customWidth="1" min="10" max="10"/>
    <col width="10" customWidth="1" min="11" max="11"/>
  </cols>
  <sheetData>
    <row r="1" ht="32" customHeight="1">
      <c r="A1" s="1" t="inlineStr">
        <is>
          <t>Delivery_ID</t>
        </is>
      </c>
      <c r="B1" s="1" t="inlineStr">
        <is>
          <t>Delivery_Date</t>
        </is>
      </c>
      <c r="C1" s="1" t="inlineStr">
        <is>
          <t>Dragon_Name</t>
        </is>
      </c>
      <c r="D1" s="1" t="inlineStr">
        <is>
          <t>Route</t>
        </is>
      </c>
      <c r="E1" s="1" t="inlineStr">
        <is>
          <t>Cargo_Category</t>
        </is>
      </c>
      <c r="F1" s="1" t="inlineStr">
        <is>
          <t>Cargo_Weight_kg</t>
        </is>
      </c>
      <c r="G1" s="1" t="inlineStr">
        <is>
          <t>Flight_Time_Hours</t>
        </is>
      </c>
      <c r="H1" s="1" t="inlineStr">
        <is>
          <t>Revenue_GP</t>
        </is>
      </c>
      <c r="I1" s="1" t="inlineStr">
        <is>
          <t>Tip_GP</t>
        </is>
      </c>
      <c r="J1" s="1" t="inlineStr">
        <is>
          <t>Customer_Rating</t>
        </is>
      </c>
      <c r="K1" s="1" t="inlineStr">
        <is>
          <t>On_Time</t>
        </is>
      </c>
    </row>
    <row r="2">
      <c r="A2" s="2" t="inlineStr">
        <is>
          <t>DD001</t>
        </is>
      </c>
      <c r="B2" s="26" t="n">
        <v>45739</v>
      </c>
      <c r="C2" s="2" t="inlineStr">
        <is>
          <t>Flameheart</t>
        </is>
      </c>
      <c r="D2" s="2" t="inlineStr">
        <is>
          <t>Mountain_Pass</t>
        </is>
      </c>
      <c r="E2" s="2" t="inlineStr">
        <is>
          <t>Fragile_Items</t>
        </is>
      </c>
      <c r="F2" s="27" t="n">
        <v>4.4</v>
      </c>
      <c r="G2" s="27" t="n">
        <v>1.6</v>
      </c>
      <c r="H2" s="5" t="n">
        <v>547</v>
      </c>
      <c r="I2" s="5" t="n">
        <v>34</v>
      </c>
      <c r="J2" s="2" t="n">
        <v>4</v>
      </c>
      <c r="K2" s="2" t="inlineStr">
        <is>
          <t>Y</t>
        </is>
      </c>
    </row>
    <row r="3">
      <c r="A3" s="6" t="inlineStr">
        <is>
          <t>DD002</t>
        </is>
      </c>
      <c r="B3" s="28" t="n">
        <v>45661</v>
      </c>
      <c r="C3" s="6" t="inlineStr">
        <is>
          <t>Flameheart</t>
        </is>
      </c>
      <c r="D3" s="6" t="inlineStr">
        <is>
          <t>Mountain_Pass</t>
        </is>
      </c>
      <c r="E3" s="6" t="inlineStr">
        <is>
          <t>Oversized</t>
        </is>
      </c>
      <c r="F3" s="29" t="n">
        <v>84.2</v>
      </c>
      <c r="G3" s="29" t="n">
        <v>6.5</v>
      </c>
      <c r="H3" s="9" t="n">
        <v>558</v>
      </c>
      <c r="I3" s="9" t="n">
        <v>34</v>
      </c>
      <c r="J3" s="6" t="n">
        <v>4</v>
      </c>
      <c r="K3" s="6" t="inlineStr">
        <is>
          <t>Y</t>
        </is>
      </c>
    </row>
    <row r="4">
      <c r="A4" s="2" t="inlineStr">
        <is>
          <t>DD003</t>
        </is>
      </c>
      <c r="B4" s="26" t="n">
        <v>45693</v>
      </c>
      <c r="C4" s="2" t="inlineStr">
        <is>
          <t>Flameheart</t>
        </is>
      </c>
      <c r="D4" s="2" t="inlineStr">
        <is>
          <t>Sky_Summit</t>
        </is>
      </c>
      <c r="E4" s="2" t="inlineStr">
        <is>
          <t>Luxury_Goods</t>
        </is>
      </c>
      <c r="F4" s="27" t="n">
        <v>12.77447660653435</v>
      </c>
      <c r="G4" s="27" t="n">
        <v>2.4</v>
      </c>
      <c r="H4" s="5" t="n">
        <v>631</v>
      </c>
      <c r="I4" s="5" t="n">
        <v>41</v>
      </c>
      <c r="J4" s="2" t="n">
        <v>5</v>
      </c>
      <c r="K4" s="2" t="inlineStr">
        <is>
          <t>Y</t>
        </is>
      </c>
    </row>
    <row r="5">
      <c r="A5" s="6" t="inlineStr">
        <is>
          <t>DD004</t>
        </is>
      </c>
      <c r="B5" s="28" t="n">
        <v>45703</v>
      </c>
      <c r="C5" s="6" t="inlineStr">
        <is>
          <t>Cinderpuff</t>
        </is>
      </c>
      <c r="D5" s="6" t="inlineStr">
        <is>
          <t>Cavern_Run</t>
        </is>
      </c>
      <c r="E5" s="6" t="inlineStr">
        <is>
          <t>Fragile_Items</t>
        </is>
      </c>
      <c r="F5" s="29" t="n">
        <v>12.3</v>
      </c>
      <c r="G5" s="29" t="n">
        <v>2.3</v>
      </c>
      <c r="H5" s="9" t="n">
        <v>285</v>
      </c>
      <c r="I5" s="9" t="n">
        <v>34</v>
      </c>
      <c r="J5" s="6" t="n">
        <v>5</v>
      </c>
      <c r="K5" s="6" t="inlineStr">
        <is>
          <t>Y</t>
        </is>
      </c>
    </row>
    <row r="6">
      <c r="A6" s="2" t="inlineStr">
        <is>
          <t>DD005</t>
        </is>
      </c>
      <c r="B6" s="26" t="n">
        <v>45668</v>
      </c>
      <c r="C6" s="2" t="inlineStr">
        <is>
          <t>Cinderpuff</t>
        </is>
      </c>
      <c r="D6" s="2" t="inlineStr">
        <is>
          <t>Cavern_Run</t>
        </is>
      </c>
      <c r="E6" s="2" t="inlineStr">
        <is>
          <t>Fragile_Items</t>
        </is>
      </c>
      <c r="F6" s="27" t="n">
        <v>9.1</v>
      </c>
      <c r="G6" s="27" t="n">
        <v>1.4</v>
      </c>
      <c r="H6" s="5" t="n">
        <v>238</v>
      </c>
      <c r="I6" s="5" t="n">
        <v>18</v>
      </c>
      <c r="J6" s="2" t="n">
        <v>3</v>
      </c>
      <c r="K6" s="2" t="inlineStr">
        <is>
          <t>N</t>
        </is>
      </c>
    </row>
    <row r="7">
      <c r="A7" s="6" t="inlineStr">
        <is>
          <t>DD006</t>
        </is>
      </c>
      <c r="B7" s="28" t="n">
        <v>45670</v>
      </c>
      <c r="C7" s="6" t="inlineStr">
        <is>
          <t>Mossclaw</t>
        </is>
      </c>
      <c r="D7" s="6" t="inlineStr">
        <is>
          <t>Coastal_Hop</t>
        </is>
      </c>
      <c r="E7" s="6" t="inlineStr">
        <is>
          <t>Perishables</t>
        </is>
      </c>
      <c r="F7" s="29" t="n">
        <v>24.1</v>
      </c>
      <c r="G7" s="29" t="n">
        <v>2.1</v>
      </c>
      <c r="H7" s="9" t="n">
        <v>145</v>
      </c>
      <c r="I7" s="9" t="n">
        <v>0</v>
      </c>
      <c r="J7" s="6" t="n">
        <v>5</v>
      </c>
      <c r="K7" s="6" t="inlineStr">
        <is>
          <t>Y</t>
        </is>
      </c>
    </row>
    <row r="8">
      <c r="A8" s="2" t="inlineStr">
        <is>
          <t>DD007</t>
        </is>
      </c>
      <c r="B8" s="26" t="n">
        <v>45747</v>
      </c>
      <c r="C8" s="2" t="inlineStr">
        <is>
          <t>Flameheart</t>
        </is>
      </c>
      <c r="D8" s="2" t="inlineStr">
        <is>
          <t>Forest_Trail</t>
        </is>
      </c>
      <c r="E8" s="2" t="inlineStr">
        <is>
          <t>Standard_Parcels</t>
        </is>
      </c>
      <c r="F8" s="27" t="n">
        <v>22.8</v>
      </c>
      <c r="G8" s="27" t="n">
        <v>2.4</v>
      </c>
      <c r="H8" s="5" t="n">
        <v>247</v>
      </c>
      <c r="I8" s="5" t="n">
        <v>40</v>
      </c>
      <c r="J8" s="2" t="n">
        <v>4</v>
      </c>
      <c r="K8" s="2" t="inlineStr">
        <is>
          <t>Y</t>
        </is>
      </c>
    </row>
    <row r="9">
      <c r="A9" s="6" t="inlineStr">
        <is>
          <t>DD008</t>
        </is>
      </c>
      <c r="B9" s="28" t="n">
        <v>45699</v>
      </c>
      <c r="C9" s="6" t="inlineStr">
        <is>
          <t>Flameheart</t>
        </is>
      </c>
      <c r="D9" s="6" t="inlineStr">
        <is>
          <t>Mountain_Pass</t>
        </is>
      </c>
      <c r="E9" s="6" t="inlineStr">
        <is>
          <t>Luxury_Goods</t>
        </is>
      </c>
      <c r="F9" s="29" t="n">
        <v>16.5</v>
      </c>
      <c r="G9" s="29" t="n">
        <v>3.3</v>
      </c>
      <c r="H9" s="9" t="n">
        <v>648</v>
      </c>
      <c r="I9" s="9" t="n">
        <v>4</v>
      </c>
      <c r="J9" s="6" t="n">
        <v>5</v>
      </c>
      <c r="K9" s="6" t="inlineStr">
        <is>
          <t>Y</t>
        </is>
      </c>
    </row>
    <row r="10">
      <c r="A10" s="2" t="inlineStr">
        <is>
          <t>DD009</t>
        </is>
      </c>
      <c r="B10" s="26" t="n">
        <v>45698</v>
      </c>
      <c r="C10" s="2" t="inlineStr">
        <is>
          <t>Stonewing</t>
        </is>
      </c>
      <c r="D10" s="2" t="inlineStr">
        <is>
          <t>Sky_Summit</t>
        </is>
      </c>
      <c r="E10" s="2" t="inlineStr">
        <is>
          <t>Perishables</t>
        </is>
      </c>
      <c r="F10" s="27" t="n">
        <v>31.5</v>
      </c>
      <c r="G10" s="27" t="n">
        <v>2.5</v>
      </c>
      <c r="H10" s="5" t="n">
        <v>325</v>
      </c>
      <c r="I10" s="5" t="n">
        <v>67</v>
      </c>
      <c r="J10" s="2" t="n">
        <v>4</v>
      </c>
      <c r="K10" s="2" t="inlineStr">
        <is>
          <t>Y</t>
        </is>
      </c>
    </row>
    <row r="11">
      <c r="A11" s="6" t="inlineStr">
        <is>
          <t>DD010</t>
        </is>
      </c>
      <c r="B11" s="28" t="n">
        <v>45732</v>
      </c>
      <c r="C11" s="6" t="inlineStr">
        <is>
          <t>Mossclaw</t>
        </is>
      </c>
      <c r="D11" s="6" t="inlineStr">
        <is>
          <t>Cavern_Run</t>
        </is>
      </c>
      <c r="E11" s="6" t="inlineStr">
        <is>
          <t>Perishables</t>
        </is>
      </c>
      <c r="F11" s="29" t="n">
        <v>15.9</v>
      </c>
      <c r="G11" s="29" t="n">
        <v>1.4</v>
      </c>
      <c r="H11" s="9" t="n">
        <v>285</v>
      </c>
      <c r="I11" s="9" t="n">
        <v>8</v>
      </c>
      <c r="J11" s="6" t="n">
        <v>3</v>
      </c>
      <c r="K11" s="6" t="inlineStr">
        <is>
          <t>Y</t>
        </is>
      </c>
    </row>
    <row r="12">
      <c r="A12" s="2" t="inlineStr">
        <is>
          <t>DD011</t>
        </is>
      </c>
      <c r="B12" s="26" t="n">
        <v>45664</v>
      </c>
      <c r="C12" s="2" t="inlineStr">
        <is>
          <t>Flameheart</t>
        </is>
      </c>
      <c r="D12" s="2" t="inlineStr">
        <is>
          <t>Mountain_Pass</t>
        </is>
      </c>
      <c r="E12" s="2" t="inlineStr">
        <is>
          <t>Standard_Parcels</t>
        </is>
      </c>
      <c r="F12" s="27" t="n">
        <v>32.3</v>
      </c>
      <c r="G12" s="27" t="n">
        <v>2.6</v>
      </c>
      <c r="H12" s="5" t="n">
        <v>402</v>
      </c>
      <c r="I12" s="5" t="n">
        <v>29</v>
      </c>
      <c r="J12" s="2" t="n">
        <v>5</v>
      </c>
      <c r="K12" s="2" t="inlineStr">
        <is>
          <t>Y</t>
        </is>
      </c>
    </row>
    <row r="13">
      <c r="A13" s="6" t="inlineStr">
        <is>
          <t>DD012</t>
        </is>
      </c>
      <c r="B13" s="28" t="n">
        <v>45659</v>
      </c>
      <c r="C13" s="6" t="inlineStr">
        <is>
          <t>Flameheart</t>
        </is>
      </c>
      <c r="D13" s="6" t="inlineStr">
        <is>
          <t>Forest_Trail</t>
        </is>
      </c>
      <c r="E13" s="6" t="inlineStr">
        <is>
          <t>Oversized</t>
        </is>
      </c>
      <c r="F13" s="29" t="n">
        <v>97.59999999999999</v>
      </c>
      <c r="G13" s="29" t="n">
        <v>7.1</v>
      </c>
      <c r="H13" s="9" t="n">
        <v>384</v>
      </c>
      <c r="I13" s="9" t="n">
        <v>21</v>
      </c>
      <c r="J13" s="6" t="n">
        <v>4</v>
      </c>
      <c r="K13" s="6" t="inlineStr">
        <is>
          <t>Y</t>
        </is>
      </c>
    </row>
    <row r="14">
      <c r="A14" s="2" t="inlineStr">
        <is>
          <t>DD013</t>
        </is>
      </c>
      <c r="B14" s="26" t="n">
        <v>45716</v>
      </c>
      <c r="C14" s="2" t="inlineStr">
        <is>
          <t>Flameheart</t>
        </is>
      </c>
      <c r="D14" s="2" t="inlineStr">
        <is>
          <t>Cavern_Run</t>
        </is>
      </c>
      <c r="E14" s="2" t="inlineStr">
        <is>
          <t>Luxury_Goods</t>
        </is>
      </c>
      <c r="F14" s="27" t="n">
        <v>14.548941002713</v>
      </c>
      <c r="G14" s="27" t="n">
        <v>2</v>
      </c>
      <c r="H14" s="5" t="n">
        <v>390</v>
      </c>
      <c r="I14" s="5" t="n">
        <v>40</v>
      </c>
      <c r="J14" s="2" t="n">
        <v>5</v>
      </c>
      <c r="K14" s="2" t="inlineStr">
        <is>
          <t>Y</t>
        </is>
      </c>
    </row>
    <row r="15">
      <c r="A15" s="6" t="inlineStr">
        <is>
          <t>DD014</t>
        </is>
      </c>
      <c r="B15" s="28" t="n">
        <v>45735</v>
      </c>
      <c r="C15" s="6" t="inlineStr">
        <is>
          <t>Stonewing</t>
        </is>
      </c>
      <c r="D15" s="6" t="inlineStr">
        <is>
          <t>Coastal_Hop</t>
        </is>
      </c>
      <c r="E15" s="6" t="inlineStr">
        <is>
          <t>Fragile_Items</t>
        </is>
      </c>
      <c r="F15" s="29" t="n">
        <v>11.7</v>
      </c>
      <c r="G15" s="29" t="n">
        <v>0.5</v>
      </c>
      <c r="H15" s="9" t="n">
        <v>170</v>
      </c>
      <c r="I15" s="9" t="n">
        <v>0</v>
      </c>
      <c r="J15" s="6" t="n">
        <v>3</v>
      </c>
      <c r="K15" s="6" t="inlineStr">
        <is>
          <t>Y</t>
        </is>
      </c>
    </row>
    <row r="16">
      <c r="A16" s="2" t="inlineStr">
        <is>
          <t>DD015</t>
        </is>
      </c>
      <c r="B16" s="26" t="n">
        <v>45738</v>
      </c>
      <c r="C16" s="2" t="inlineStr">
        <is>
          <t>Stonewing</t>
        </is>
      </c>
      <c r="D16" s="2" t="inlineStr">
        <is>
          <t>Coastal_Hop</t>
        </is>
      </c>
      <c r="E16" s="2" t="inlineStr">
        <is>
          <t>Perishables</t>
        </is>
      </c>
      <c r="F16" s="27" t="n">
        <v>28.5</v>
      </c>
      <c r="G16" s="27" t="n">
        <v>9.800000000000001</v>
      </c>
      <c r="H16" s="5" t="n">
        <v>105</v>
      </c>
      <c r="I16" s="5" t="n">
        <v>0</v>
      </c>
      <c r="J16" s="2" t="n">
        <v>1</v>
      </c>
      <c r="K16" s="2" t="inlineStr">
        <is>
          <t>N</t>
        </is>
      </c>
    </row>
    <row r="17">
      <c r="A17" s="6" t="inlineStr">
        <is>
          <t>DD016</t>
        </is>
      </c>
      <c r="B17" s="28" t="n">
        <v>45742</v>
      </c>
      <c r="C17" s="6" t="inlineStr">
        <is>
          <t>Mossclaw</t>
        </is>
      </c>
      <c r="D17" s="6" t="inlineStr">
        <is>
          <t>Coastal_Hop</t>
        </is>
      </c>
      <c r="E17" s="6" t="inlineStr">
        <is>
          <t>Standard_Parcels</t>
        </is>
      </c>
      <c r="F17" s="29" t="n">
        <v>12.8</v>
      </c>
      <c r="G17" s="29" t="n">
        <v>1.6</v>
      </c>
      <c r="H17" s="9" t="n">
        <v>127</v>
      </c>
      <c r="I17" s="9" t="n">
        <v>0</v>
      </c>
      <c r="J17" s="6" t="n">
        <v>3</v>
      </c>
      <c r="K17" s="6" t="inlineStr">
        <is>
          <t>N</t>
        </is>
      </c>
    </row>
    <row r="18">
      <c r="A18" s="2" t="inlineStr">
        <is>
          <t>DD017</t>
        </is>
      </c>
      <c r="B18" s="26" t="n">
        <v>45746</v>
      </c>
      <c r="C18" s="2" t="inlineStr">
        <is>
          <t>Stonewing</t>
        </is>
      </c>
      <c r="D18" s="2" t="inlineStr">
        <is>
          <t>Forest_Trail</t>
        </is>
      </c>
      <c r="E18" s="2" t="inlineStr">
        <is>
          <t>Perishables</t>
        </is>
      </c>
      <c r="F18" s="27" t="n">
        <v>34.9</v>
      </c>
      <c r="G18" s="27" t="n">
        <v>2.3</v>
      </c>
      <c r="H18" s="5" t="n">
        <v>298</v>
      </c>
      <c r="I18" s="5" t="n">
        <v>7</v>
      </c>
      <c r="J18" s="2" t="n">
        <v>3</v>
      </c>
      <c r="K18" s="2" t="inlineStr">
        <is>
          <t>Y</t>
        </is>
      </c>
    </row>
    <row r="19">
      <c r="A19" s="6" t="inlineStr">
        <is>
          <t>DD018</t>
        </is>
      </c>
      <c r="B19" s="28" t="n">
        <v>45660</v>
      </c>
      <c r="C19" s="6" t="inlineStr">
        <is>
          <t>Stonewing</t>
        </is>
      </c>
      <c r="D19" s="6" t="inlineStr">
        <is>
          <t>Cavern_Run</t>
        </is>
      </c>
      <c r="E19" s="6" t="inlineStr">
        <is>
          <t>Standard_Parcels</t>
        </is>
      </c>
      <c r="F19" s="29" t="n">
        <v>3.3</v>
      </c>
      <c r="G19" s="29" t="n">
        <v>0.5</v>
      </c>
      <c r="H19" s="9" t="n">
        <v>236</v>
      </c>
      <c r="I19" s="9" t="n">
        <v>3</v>
      </c>
      <c r="J19" s="6" t="n">
        <v>5</v>
      </c>
      <c r="K19" s="6" t="inlineStr">
        <is>
          <t>Y</t>
        </is>
      </c>
    </row>
    <row r="20">
      <c r="A20" s="2" t="inlineStr">
        <is>
          <t>DD019</t>
        </is>
      </c>
      <c r="B20" s="26" t="n">
        <v>45700</v>
      </c>
      <c r="C20" s="2" t="inlineStr">
        <is>
          <t>Flameheart</t>
        </is>
      </c>
      <c r="D20" s="2" t="inlineStr">
        <is>
          <t>Forest_Trail</t>
        </is>
      </c>
      <c r="E20" s="2" t="inlineStr">
        <is>
          <t>Fragile_Items</t>
        </is>
      </c>
      <c r="F20" s="27" t="n">
        <v>10.4</v>
      </c>
      <c r="G20" s="27" t="n">
        <v>1.8</v>
      </c>
      <c r="H20" s="5" t="n">
        <v>374</v>
      </c>
      <c r="I20" s="5" t="n">
        <v>36</v>
      </c>
      <c r="J20" s="2" t="n">
        <v>4</v>
      </c>
      <c r="K20" s="2" t="inlineStr">
        <is>
          <t>Y</t>
        </is>
      </c>
    </row>
    <row r="21">
      <c r="A21" s="6" t="inlineStr">
        <is>
          <t>DD020</t>
        </is>
      </c>
      <c r="B21" s="28" t="n">
        <v>45718</v>
      </c>
      <c r="C21" s="6" t="inlineStr">
        <is>
          <t>Mossclaw</t>
        </is>
      </c>
      <c r="D21" s="6" t="inlineStr">
        <is>
          <t>Coastal_Hop</t>
        </is>
      </c>
      <c r="E21" s="6" t="inlineStr">
        <is>
          <t>Luxury_Goods</t>
        </is>
      </c>
      <c r="F21" s="29" t="n">
        <v>3.7</v>
      </c>
      <c r="G21" s="29" t="n">
        <v>1.8</v>
      </c>
      <c r="H21" s="9" t="n">
        <v>218</v>
      </c>
      <c r="I21" s="9" t="n">
        <v>0</v>
      </c>
      <c r="J21" s="6" t="n">
        <v>1</v>
      </c>
      <c r="K21" s="6" t="inlineStr">
        <is>
          <t>N</t>
        </is>
      </c>
    </row>
    <row r="22">
      <c r="A22" s="2" t="inlineStr">
        <is>
          <t>DD021</t>
        </is>
      </c>
      <c r="B22" s="26" t="n">
        <v>45741</v>
      </c>
      <c r="C22" s="2" t="inlineStr">
        <is>
          <t>Flameheart</t>
        </is>
      </c>
      <c r="D22" s="2" t="inlineStr">
        <is>
          <t>Mountain_Pass</t>
        </is>
      </c>
      <c r="E22" s="2" t="inlineStr">
        <is>
          <t>Fragile_Items</t>
        </is>
      </c>
      <c r="F22" s="27" t="n">
        <v>12.2</v>
      </c>
      <c r="G22" s="27" t="n">
        <v>2.3</v>
      </c>
      <c r="H22" s="5" t="n">
        <v>510</v>
      </c>
      <c r="I22" s="5" t="n">
        <v>8</v>
      </c>
      <c r="J22" s="2" t="n">
        <v>4</v>
      </c>
      <c r="K22" s="2" t="inlineStr">
        <is>
          <t>Y</t>
        </is>
      </c>
    </row>
    <row r="23">
      <c r="A23" s="6" t="inlineStr">
        <is>
          <t>DD022</t>
        </is>
      </c>
      <c r="B23" s="28" t="n">
        <v>45689</v>
      </c>
      <c r="C23" s="6" t="inlineStr">
        <is>
          <t>Flameheart</t>
        </is>
      </c>
      <c r="D23" s="6" t="inlineStr">
        <is>
          <t>Coastal_Hop</t>
        </is>
      </c>
      <c r="E23" s="6" t="inlineStr">
        <is>
          <t>Oversized</t>
        </is>
      </c>
      <c r="F23" s="29" t="n">
        <v>38.8</v>
      </c>
      <c r="G23" s="29" t="n">
        <v>3.8</v>
      </c>
      <c r="H23" s="9" t="n">
        <v>191</v>
      </c>
      <c r="I23" s="9" t="n">
        <v>5</v>
      </c>
      <c r="J23" s="6" t="n">
        <v>3</v>
      </c>
      <c r="K23" s="6" t="inlineStr">
        <is>
          <t>N</t>
        </is>
      </c>
    </row>
    <row r="24">
      <c r="A24" s="2" t="inlineStr">
        <is>
          <t>DD023</t>
        </is>
      </c>
      <c r="B24" s="26" t="n">
        <v>45679</v>
      </c>
      <c r="C24" s="2" t="inlineStr">
        <is>
          <t>Mossclaw</t>
        </is>
      </c>
      <c r="D24" s="2" t="inlineStr">
        <is>
          <t>Sky_Summit</t>
        </is>
      </c>
      <c r="E24" s="2" t="inlineStr">
        <is>
          <t>Luxury_Goods</t>
        </is>
      </c>
      <c r="F24" s="27" t="n">
        <v>5.336243601048361</v>
      </c>
      <c r="G24" s="27" t="n">
        <v>1.3</v>
      </c>
      <c r="H24" s="5" t="n">
        <v>566</v>
      </c>
      <c r="I24" s="5" t="n">
        <v>44</v>
      </c>
      <c r="J24" s="2" t="n">
        <v>5</v>
      </c>
      <c r="K24" s="2" t="inlineStr">
        <is>
          <t>Y</t>
        </is>
      </c>
    </row>
    <row r="25">
      <c r="A25" s="6" t="inlineStr">
        <is>
          <t>DD024</t>
        </is>
      </c>
      <c r="B25" s="28" t="n">
        <v>45716</v>
      </c>
      <c r="C25" s="6" t="inlineStr">
        <is>
          <t>Cinderpuff</t>
        </is>
      </c>
      <c r="D25" s="6" t="inlineStr">
        <is>
          <t>Sky_Summit</t>
        </is>
      </c>
      <c r="E25" s="6" t="inlineStr">
        <is>
          <t>Oversized</t>
        </is>
      </c>
      <c r="F25" s="29" t="n">
        <v>89.59999999999999</v>
      </c>
      <c r="G25" s="29" t="n">
        <v>6.6</v>
      </c>
      <c r="H25" s="9" t="n">
        <v>439</v>
      </c>
      <c r="I25" s="9" t="n">
        <v>32</v>
      </c>
      <c r="J25" s="6" t="n">
        <v>5</v>
      </c>
      <c r="K25" s="6" t="inlineStr">
        <is>
          <t>Y</t>
        </is>
      </c>
    </row>
    <row r="26">
      <c r="A26" s="2" t="inlineStr">
        <is>
          <t>DD025</t>
        </is>
      </c>
      <c r="B26" s="26" t="n">
        <v>45732</v>
      </c>
      <c r="C26" s="2" t="inlineStr">
        <is>
          <t>Flameheart</t>
        </is>
      </c>
      <c r="D26" s="2" t="inlineStr">
        <is>
          <t>Sky_Summit</t>
        </is>
      </c>
      <c r="E26" s="2" t="inlineStr">
        <is>
          <t>Luxury_Goods</t>
        </is>
      </c>
      <c r="F26" s="27" t="n">
        <v>2.9</v>
      </c>
      <c r="G26" s="27" t="n">
        <v>0.5</v>
      </c>
      <c r="H26" s="5" t="n">
        <v>550</v>
      </c>
      <c r="I26" s="5" t="n">
        <v>23</v>
      </c>
      <c r="J26" s="2" t="n">
        <v>1</v>
      </c>
      <c r="K26" s="2" t="inlineStr">
        <is>
          <t>N</t>
        </is>
      </c>
    </row>
    <row r="27">
      <c r="A27" s="6" t="inlineStr">
        <is>
          <t>DD026</t>
        </is>
      </c>
      <c r="B27" s="28" t="n">
        <v>45771</v>
      </c>
      <c r="C27" s="6" t="inlineStr">
        <is>
          <t>Flameheart</t>
        </is>
      </c>
      <c r="D27" s="6" t="inlineStr">
        <is>
          <t>Coastal_Hop</t>
        </is>
      </c>
      <c r="E27" s="6" t="inlineStr">
        <is>
          <t>Standard_Parcels</t>
        </is>
      </c>
      <c r="F27" s="29" t="n">
        <v>17.9</v>
      </c>
      <c r="G27" s="29" t="n">
        <v>2.5</v>
      </c>
      <c r="H27" s="9" t="n">
        <v>130</v>
      </c>
      <c r="I27" s="9" t="n">
        <v>0</v>
      </c>
      <c r="J27" s="6" t="n">
        <v>4</v>
      </c>
      <c r="K27" s="6" t="inlineStr">
        <is>
          <t>Y</t>
        </is>
      </c>
    </row>
    <row r="28">
      <c r="A28" s="2" t="inlineStr">
        <is>
          <t>DD027</t>
        </is>
      </c>
      <c r="B28" s="26" t="n">
        <v>45827</v>
      </c>
      <c r="C28" s="2" t="inlineStr">
        <is>
          <t>Flameheart</t>
        </is>
      </c>
      <c r="D28" s="2" t="inlineStr">
        <is>
          <t>Coastal_Hop</t>
        </is>
      </c>
      <c r="E28" s="2" t="inlineStr">
        <is>
          <t>Oversized</t>
        </is>
      </c>
      <c r="F28" s="27" t="n">
        <v>80.90000000000001</v>
      </c>
      <c r="G28" s="27" t="n">
        <v>5.5</v>
      </c>
      <c r="H28" s="5" t="n">
        <v>193</v>
      </c>
      <c r="I28" s="5" t="n">
        <v>0</v>
      </c>
      <c r="J28" s="2" t="n">
        <v>5</v>
      </c>
      <c r="K28" s="2" t="inlineStr">
        <is>
          <t>Y</t>
        </is>
      </c>
    </row>
    <row r="29">
      <c r="A29" s="6" t="inlineStr">
        <is>
          <t>DD028</t>
        </is>
      </c>
      <c r="B29" s="28" t="n">
        <v>45786</v>
      </c>
      <c r="C29" s="6" t="inlineStr">
        <is>
          <t>Mossclaw</t>
        </is>
      </c>
      <c r="D29" s="6" t="inlineStr">
        <is>
          <t>Forest_Trail</t>
        </is>
      </c>
      <c r="E29" s="6" t="inlineStr">
        <is>
          <t>Luxury_Goods</t>
        </is>
      </c>
      <c r="F29" s="29" t="n">
        <v>2.2</v>
      </c>
      <c r="G29" s="29" t="n">
        <v>2</v>
      </c>
      <c r="H29" s="9" t="n">
        <v>450</v>
      </c>
      <c r="I29" s="9" t="n">
        <v>36</v>
      </c>
      <c r="J29" s="6" t="n">
        <v>1</v>
      </c>
      <c r="K29" s="6" t="inlineStr">
        <is>
          <t>N</t>
        </is>
      </c>
    </row>
    <row r="30">
      <c r="A30" s="2" t="inlineStr">
        <is>
          <t>DD029</t>
        </is>
      </c>
      <c r="B30" s="26" t="n">
        <v>45775</v>
      </c>
      <c r="C30" s="2" t="inlineStr">
        <is>
          <t>Cinderpuff</t>
        </is>
      </c>
      <c r="D30" s="2" t="inlineStr">
        <is>
          <t>Coastal_Hop</t>
        </is>
      </c>
      <c r="E30" s="2" t="inlineStr">
        <is>
          <t>Fragile_Items</t>
        </is>
      </c>
      <c r="F30" s="27" t="n">
        <v>13.3</v>
      </c>
      <c r="G30" s="27" t="n">
        <v>2.6</v>
      </c>
      <c r="H30" s="5" t="n">
        <v>147</v>
      </c>
      <c r="I30" s="5" t="n">
        <v>0</v>
      </c>
      <c r="J30" s="2" t="n">
        <v>2</v>
      </c>
      <c r="K30" s="2" t="inlineStr">
        <is>
          <t>N</t>
        </is>
      </c>
    </row>
    <row r="31">
      <c r="A31" s="6" t="inlineStr">
        <is>
          <t>DD030</t>
        </is>
      </c>
      <c r="B31" s="28" t="n">
        <v>45749</v>
      </c>
      <c r="C31" s="6" t="inlineStr">
        <is>
          <t>Cinderpuff</t>
        </is>
      </c>
      <c r="D31" s="6" t="inlineStr">
        <is>
          <t>Mountain_Pass</t>
        </is>
      </c>
      <c r="E31" s="6" t="inlineStr">
        <is>
          <t>Standard_Parcels</t>
        </is>
      </c>
      <c r="F31" s="29" t="n">
        <v>12.8</v>
      </c>
      <c r="G31" s="29" t="n">
        <v>1</v>
      </c>
      <c r="H31" s="9" t="n">
        <v>478</v>
      </c>
      <c r="I31" s="9" t="n">
        <v>35</v>
      </c>
      <c r="J31" s="6" t="n">
        <v>4</v>
      </c>
      <c r="K31" s="6" t="inlineStr">
        <is>
          <t>Y</t>
        </is>
      </c>
    </row>
    <row r="32">
      <c r="A32" s="2" t="inlineStr">
        <is>
          <t>DD031</t>
        </is>
      </c>
      <c r="B32" s="26" t="n">
        <v>45774</v>
      </c>
      <c r="C32" s="2" t="inlineStr">
        <is>
          <t>Cinderpuff</t>
        </is>
      </c>
      <c r="D32" s="2" t="inlineStr">
        <is>
          <t>Mountain_Pass</t>
        </is>
      </c>
      <c r="E32" s="2" t="inlineStr">
        <is>
          <t>Fragile_Items</t>
        </is>
      </c>
      <c r="F32" s="27" t="n">
        <v>8.1</v>
      </c>
      <c r="G32" s="27" t="n">
        <v>1.5</v>
      </c>
      <c r="H32" s="5" t="n">
        <v>557</v>
      </c>
      <c r="I32" s="5" t="n">
        <v>18</v>
      </c>
      <c r="J32" s="2" t="n">
        <v>4</v>
      </c>
      <c r="K32" s="2" t="inlineStr">
        <is>
          <t>Y</t>
        </is>
      </c>
    </row>
    <row r="33">
      <c r="A33" s="6" t="inlineStr">
        <is>
          <t>DD032</t>
        </is>
      </c>
      <c r="B33" s="28" t="n">
        <v>45764</v>
      </c>
      <c r="C33" s="6" t="inlineStr">
        <is>
          <t>Cinderpuff</t>
        </is>
      </c>
      <c r="D33" s="6" t="inlineStr">
        <is>
          <t>Coastal_Hop</t>
        </is>
      </c>
      <c r="E33" s="6" t="inlineStr">
        <is>
          <t>Perishables</t>
        </is>
      </c>
      <c r="F33" s="29" t="n">
        <v>21.6</v>
      </c>
      <c r="G33" s="29" t="n">
        <v>4.9</v>
      </c>
      <c r="H33" s="9" t="n">
        <v>149</v>
      </c>
      <c r="I33" s="9" t="n">
        <v>0</v>
      </c>
      <c r="J33" s="6" t="n">
        <v>2</v>
      </c>
      <c r="K33" s="6" t="inlineStr">
        <is>
          <t>N</t>
        </is>
      </c>
    </row>
    <row r="34">
      <c r="A34" s="2" t="inlineStr">
        <is>
          <t>DD033</t>
        </is>
      </c>
      <c r="B34" s="26" t="n">
        <v>45767</v>
      </c>
      <c r="C34" s="2" t="inlineStr">
        <is>
          <t>Flameheart</t>
        </is>
      </c>
      <c r="D34" s="2" t="inlineStr">
        <is>
          <t>Sky_Summit</t>
        </is>
      </c>
      <c r="E34" s="2" t="inlineStr">
        <is>
          <t>Oversized</t>
        </is>
      </c>
      <c r="F34" s="27" t="n">
        <v>79.7</v>
      </c>
      <c r="G34" s="27" t="n">
        <v>5.5</v>
      </c>
      <c r="H34" s="5" t="n">
        <v>420</v>
      </c>
      <c r="I34" s="5" t="n">
        <v>79</v>
      </c>
      <c r="J34" s="2" t="n">
        <v>3</v>
      </c>
      <c r="K34" s="2" t="inlineStr">
        <is>
          <t>N</t>
        </is>
      </c>
    </row>
    <row r="35">
      <c r="A35" s="6" t="inlineStr">
        <is>
          <t>DD034</t>
        </is>
      </c>
      <c r="B35" s="28" t="n">
        <v>45793</v>
      </c>
      <c r="C35" s="6" t="inlineStr">
        <is>
          <t>Stonewing</t>
        </is>
      </c>
      <c r="D35" s="6" t="inlineStr">
        <is>
          <t>Coastal_Hop</t>
        </is>
      </c>
      <c r="E35" s="6" t="inlineStr">
        <is>
          <t>Luxury_Goods</t>
        </is>
      </c>
      <c r="F35" s="29" t="n">
        <v>8.4</v>
      </c>
      <c r="G35" s="29" t="n">
        <v>1.7</v>
      </c>
      <c r="H35" s="9" t="n">
        <v>228</v>
      </c>
      <c r="I35" s="9" t="n">
        <v>18</v>
      </c>
      <c r="J35" s="6" t="n">
        <v>3</v>
      </c>
      <c r="K35" s="6" t="inlineStr">
        <is>
          <t>N</t>
        </is>
      </c>
    </row>
    <row r="36">
      <c r="A36" s="2" t="inlineStr">
        <is>
          <t>DD035</t>
        </is>
      </c>
      <c r="B36" s="26" t="n">
        <v>45778</v>
      </c>
      <c r="C36" s="2" t="inlineStr">
        <is>
          <t>Stonewing</t>
        </is>
      </c>
      <c r="D36" s="2" t="inlineStr">
        <is>
          <t>Coastal_Hop</t>
        </is>
      </c>
      <c r="E36" s="2" t="inlineStr">
        <is>
          <t>Perishables</t>
        </is>
      </c>
      <c r="F36" s="27" t="n">
        <v>5.7</v>
      </c>
      <c r="G36" s="27" t="n">
        <v>1.3</v>
      </c>
      <c r="H36" s="5" t="n">
        <v>177</v>
      </c>
      <c r="I36" s="5" t="n">
        <v>0</v>
      </c>
      <c r="J36" s="2" t="n">
        <v>1</v>
      </c>
      <c r="K36" s="2" t="inlineStr">
        <is>
          <t>N</t>
        </is>
      </c>
    </row>
    <row r="37">
      <c r="A37" s="6" t="inlineStr">
        <is>
          <t>DD036</t>
        </is>
      </c>
      <c r="B37" s="28" t="n">
        <v>45752</v>
      </c>
      <c r="C37" s="6" t="inlineStr">
        <is>
          <t>Mossclaw</t>
        </is>
      </c>
      <c r="D37" s="6" t="inlineStr">
        <is>
          <t>Coastal_Hop</t>
        </is>
      </c>
      <c r="E37" s="6" t="inlineStr">
        <is>
          <t>Standard_Parcels</t>
        </is>
      </c>
      <c r="F37" s="29" t="n">
        <v>33.2</v>
      </c>
      <c r="G37" s="29" t="n">
        <v>1.9</v>
      </c>
      <c r="H37" s="9" t="n">
        <v>137</v>
      </c>
      <c r="I37" s="9" t="n">
        <v>14</v>
      </c>
      <c r="J37" s="6" t="n">
        <v>1</v>
      </c>
      <c r="K37" s="6" t="inlineStr">
        <is>
          <t>N</t>
        </is>
      </c>
    </row>
    <row r="38">
      <c r="A38" s="2" t="inlineStr">
        <is>
          <t>DD037</t>
        </is>
      </c>
      <c r="B38" s="26" t="n">
        <v>45883</v>
      </c>
      <c r="C38" s="2" t="inlineStr">
        <is>
          <t>Flameheart</t>
        </is>
      </c>
      <c r="D38" s="2" t="inlineStr">
        <is>
          <t>Mountain_Pass</t>
        </is>
      </c>
      <c r="E38" s="2" t="inlineStr">
        <is>
          <t>Oversized</t>
        </is>
      </c>
      <c r="F38" s="27" t="n">
        <v>150</v>
      </c>
      <c r="G38" s="27" t="n">
        <v>0.5</v>
      </c>
      <c r="H38" s="5" t="n">
        <v>780</v>
      </c>
      <c r="I38" s="5" t="n">
        <v>60</v>
      </c>
      <c r="J38" s="2" t="n">
        <v>5</v>
      </c>
      <c r="K38" s="2" t="inlineStr">
        <is>
          <t>Y</t>
        </is>
      </c>
    </row>
    <row r="39">
      <c r="A39" s="6" t="inlineStr">
        <is>
          <t>DD038</t>
        </is>
      </c>
      <c r="B39" s="28" t="n">
        <v>45816</v>
      </c>
      <c r="C39" s="6" t="inlineStr">
        <is>
          <t>Cinderpuff</t>
        </is>
      </c>
      <c r="D39" s="6" t="inlineStr">
        <is>
          <t>Mountain_Pass</t>
        </is>
      </c>
      <c r="E39" s="6" t="inlineStr">
        <is>
          <t>Luxury_Goods</t>
        </is>
      </c>
      <c r="F39" s="29" t="n">
        <v>17.8</v>
      </c>
      <c r="G39" s="29" t="n">
        <v>2.9</v>
      </c>
      <c r="H39" s="9" t="n">
        <v>614</v>
      </c>
      <c r="I39" s="9" t="n">
        <v>37</v>
      </c>
      <c r="J39" s="6" t="n">
        <v>1</v>
      </c>
      <c r="K39" s="6" t="inlineStr">
        <is>
          <t>N</t>
        </is>
      </c>
    </row>
    <row r="40">
      <c r="A40" s="2" t="inlineStr">
        <is>
          <t>DD039</t>
        </is>
      </c>
      <c r="B40" s="26" t="n">
        <v>45761</v>
      </c>
      <c r="C40" s="2" t="inlineStr">
        <is>
          <t>Mossclaw</t>
        </is>
      </c>
      <c r="D40" s="2" t="inlineStr">
        <is>
          <t>Forest_Trail</t>
        </is>
      </c>
      <c r="E40" s="2" t="inlineStr">
        <is>
          <t>Fragile_Items</t>
        </is>
      </c>
      <c r="F40" s="27" t="n">
        <v>7.1</v>
      </c>
      <c r="G40" s="27" t="n">
        <v>2</v>
      </c>
      <c r="H40" s="5" t="n">
        <v>370</v>
      </c>
      <c r="I40" s="5" t="n">
        <v>12</v>
      </c>
      <c r="J40" s="2" t="n">
        <v>5</v>
      </c>
      <c r="K40" s="2" t="inlineStr">
        <is>
          <t>Y</t>
        </is>
      </c>
    </row>
    <row r="41">
      <c r="A41" s="6" t="inlineStr">
        <is>
          <t>DD040</t>
        </is>
      </c>
      <c r="B41" s="28" t="n">
        <v>45748</v>
      </c>
      <c r="C41" s="6" t="inlineStr">
        <is>
          <t>Stonewing</t>
        </is>
      </c>
      <c r="D41" s="6" t="inlineStr">
        <is>
          <t>Forest_Trail</t>
        </is>
      </c>
      <c r="E41" s="6" t="inlineStr">
        <is>
          <t>Perishables</t>
        </is>
      </c>
      <c r="F41" s="29" t="n">
        <v>7.1</v>
      </c>
      <c r="G41" s="29" t="n">
        <v>1.4</v>
      </c>
      <c r="H41" s="9" t="n">
        <v>314</v>
      </c>
      <c r="I41" s="9" t="n">
        <v>21</v>
      </c>
      <c r="J41" s="6" t="n">
        <v>5</v>
      </c>
      <c r="K41" s="6" t="inlineStr">
        <is>
          <t>Y</t>
        </is>
      </c>
    </row>
    <row r="42">
      <c r="A42" s="2" t="inlineStr">
        <is>
          <t>DD041</t>
        </is>
      </c>
      <c r="B42" s="26" t="n">
        <v>45763</v>
      </c>
      <c r="C42" s="2" t="inlineStr">
        <is>
          <t>Cinderpuff</t>
        </is>
      </c>
      <c r="D42" s="2" t="inlineStr">
        <is>
          <t>Mountain_Pass</t>
        </is>
      </c>
      <c r="E42" s="2" t="inlineStr">
        <is>
          <t>Fragile_Items</t>
        </is>
      </c>
      <c r="F42" s="27" t="n">
        <v>10.3</v>
      </c>
      <c r="G42" s="27" t="n">
        <v>0.8</v>
      </c>
      <c r="H42" s="5" t="n">
        <v>578</v>
      </c>
      <c r="I42" s="5" t="n">
        <v>12</v>
      </c>
      <c r="J42" s="2" t="n">
        <v>5</v>
      </c>
      <c r="K42" s="2" t="inlineStr">
        <is>
          <t>Y</t>
        </is>
      </c>
    </row>
    <row r="43">
      <c r="A43" s="6" t="inlineStr">
        <is>
          <t>DD042</t>
        </is>
      </c>
      <c r="B43" s="28" t="n">
        <v>45834</v>
      </c>
      <c r="C43" s="6" t="inlineStr">
        <is>
          <t>Stonewing</t>
        </is>
      </c>
      <c r="D43" s="6" t="inlineStr">
        <is>
          <t>Cavern_Run</t>
        </is>
      </c>
      <c r="E43" s="6" t="inlineStr">
        <is>
          <t>Oversized</t>
        </is>
      </c>
      <c r="F43" s="29" t="n">
        <v>57.1</v>
      </c>
      <c r="G43" s="29" t="n">
        <v>6.1</v>
      </c>
      <c r="H43" s="9" t="n">
        <v>290</v>
      </c>
      <c r="I43" s="9" t="n">
        <v>0</v>
      </c>
      <c r="J43" s="6" t="n">
        <v>4</v>
      </c>
      <c r="K43" s="6" t="inlineStr">
        <is>
          <t>Y</t>
        </is>
      </c>
    </row>
    <row r="44">
      <c r="A44" s="2" t="inlineStr">
        <is>
          <t>DD043</t>
        </is>
      </c>
      <c r="B44" s="26" t="n">
        <v>45822</v>
      </c>
      <c r="C44" s="2" t="inlineStr">
        <is>
          <t>Cinderpuff</t>
        </is>
      </c>
      <c r="D44" s="2" t="inlineStr">
        <is>
          <t>Sky_Summit</t>
        </is>
      </c>
      <c r="E44" s="2" t="inlineStr">
        <is>
          <t>Perishables</t>
        </is>
      </c>
      <c r="F44" s="27" t="n">
        <v>18.3</v>
      </c>
      <c r="G44" s="27" t="n">
        <v>2.4</v>
      </c>
      <c r="H44" s="5" t="n">
        <v>428</v>
      </c>
      <c r="I44" s="5" t="n">
        <v>70</v>
      </c>
      <c r="J44" s="2" t="n">
        <v>2</v>
      </c>
      <c r="K44" s="2" t="inlineStr">
        <is>
          <t>N</t>
        </is>
      </c>
    </row>
    <row r="45">
      <c r="A45" s="6" t="inlineStr">
        <is>
          <t>DD044</t>
        </is>
      </c>
      <c r="B45" s="28" t="n">
        <v>45784</v>
      </c>
      <c r="C45" s="6" t="inlineStr">
        <is>
          <t>Cinderpuff</t>
        </is>
      </c>
      <c r="D45" s="6" t="inlineStr">
        <is>
          <t>Mountain_Pass</t>
        </is>
      </c>
      <c r="E45" s="6" t="inlineStr">
        <is>
          <t>Standard_Parcels</t>
        </is>
      </c>
      <c r="F45" s="29" t="n">
        <v>27.9</v>
      </c>
      <c r="G45" s="29" t="n">
        <v>4</v>
      </c>
      <c r="H45" s="9" t="n">
        <v>378</v>
      </c>
      <c r="I45" s="9" t="n">
        <v>12</v>
      </c>
      <c r="J45" s="6" t="n">
        <v>3</v>
      </c>
      <c r="K45" s="6" t="inlineStr">
        <is>
          <t>Y</t>
        </is>
      </c>
    </row>
    <row r="46">
      <c r="A46" s="2" t="inlineStr">
        <is>
          <t>DD045</t>
        </is>
      </c>
      <c r="B46" s="26" t="n">
        <v>45808</v>
      </c>
      <c r="C46" s="2" t="inlineStr">
        <is>
          <t>Flameheart</t>
        </is>
      </c>
      <c r="D46" s="2" t="inlineStr">
        <is>
          <t>Coastal_Hop</t>
        </is>
      </c>
      <c r="E46" s="2" t="inlineStr">
        <is>
          <t>Oversized</t>
        </is>
      </c>
      <c r="F46" s="27" t="n">
        <v>47.5</v>
      </c>
      <c r="G46" s="27" t="n">
        <v>3.4</v>
      </c>
      <c r="H46" s="5" t="n">
        <v>165</v>
      </c>
      <c r="I46" s="5" t="n">
        <v>5</v>
      </c>
      <c r="J46" s="2" t="n">
        <v>3</v>
      </c>
      <c r="K46" s="2" t="inlineStr">
        <is>
          <t>N</t>
        </is>
      </c>
    </row>
    <row r="47">
      <c r="A47" s="6" t="inlineStr">
        <is>
          <t>DD046</t>
        </is>
      </c>
      <c r="B47" s="28" t="n">
        <v>45802</v>
      </c>
      <c r="C47" s="6" t="inlineStr">
        <is>
          <t>Stonewing</t>
        </is>
      </c>
      <c r="D47" s="6" t="inlineStr">
        <is>
          <t>Coastal_Hop</t>
        </is>
      </c>
      <c r="E47" s="6" t="inlineStr">
        <is>
          <t>Oversized</t>
        </is>
      </c>
      <c r="F47" s="29" t="n">
        <v>71.8</v>
      </c>
      <c r="G47" s="29" t="n">
        <v>4</v>
      </c>
      <c r="H47" s="9" t="n">
        <v>164</v>
      </c>
      <c r="I47" s="9" t="n">
        <v>0</v>
      </c>
      <c r="J47" s="6" t="n">
        <v>2</v>
      </c>
      <c r="K47" s="6" t="inlineStr">
        <is>
          <t>N</t>
        </is>
      </c>
    </row>
    <row r="48">
      <c r="A48" s="2" t="inlineStr">
        <is>
          <t>DD047</t>
        </is>
      </c>
      <c r="B48" s="26" t="n">
        <v>45819</v>
      </c>
      <c r="C48" s="2" t="inlineStr">
        <is>
          <t>Cinderpuff</t>
        </is>
      </c>
      <c r="D48" s="2" t="inlineStr">
        <is>
          <t>Sky_Summit</t>
        </is>
      </c>
      <c r="E48" s="2" t="inlineStr">
        <is>
          <t>Oversized</t>
        </is>
      </c>
      <c r="F48" s="27" t="n">
        <v>103.4</v>
      </c>
      <c r="G48" s="27" t="n">
        <v>8.199999999999999</v>
      </c>
      <c r="H48" s="5" t="n">
        <v>506</v>
      </c>
      <c r="I48" s="5" t="n">
        <v>48</v>
      </c>
      <c r="J48" s="2" t="n">
        <v>3</v>
      </c>
      <c r="K48" s="2" t="inlineStr">
        <is>
          <t>N</t>
        </is>
      </c>
    </row>
    <row r="49">
      <c r="A49" s="6" t="inlineStr">
        <is>
          <t>DD048</t>
        </is>
      </c>
      <c r="B49" s="28" t="n">
        <v>45808</v>
      </c>
      <c r="C49" s="6" t="inlineStr">
        <is>
          <t>Mossclaw</t>
        </is>
      </c>
      <c r="D49" s="6" t="inlineStr">
        <is>
          <t>Forest_Trail</t>
        </is>
      </c>
      <c r="E49" s="6" t="inlineStr">
        <is>
          <t>Standard_Parcels</t>
        </is>
      </c>
      <c r="F49" s="29" t="n">
        <v>34.1</v>
      </c>
      <c r="G49" s="29" t="n">
        <v>2.3</v>
      </c>
      <c r="H49" s="9" t="n">
        <v>248</v>
      </c>
      <c r="I49" s="9" t="n">
        <v>33</v>
      </c>
      <c r="J49" s="6" t="n">
        <v>4</v>
      </c>
      <c r="K49" s="6" t="inlineStr">
        <is>
          <t>Y</t>
        </is>
      </c>
    </row>
    <row r="50">
      <c r="A50" s="2" t="inlineStr">
        <is>
          <t>DD049</t>
        </is>
      </c>
      <c r="B50" s="26" t="n">
        <v>45804</v>
      </c>
      <c r="C50" s="2" t="inlineStr">
        <is>
          <t>Flameheart</t>
        </is>
      </c>
      <c r="D50" s="2" t="inlineStr">
        <is>
          <t>Sky_Summit</t>
        </is>
      </c>
      <c r="E50" s="2" t="inlineStr">
        <is>
          <t>Standard_Parcels</t>
        </is>
      </c>
      <c r="F50" s="27" t="n">
        <v>13.1</v>
      </c>
      <c r="G50" s="27" t="n">
        <v>1.2</v>
      </c>
      <c r="H50" s="5" t="n">
        <v>295</v>
      </c>
      <c r="I50" s="5" t="n">
        <v>34</v>
      </c>
      <c r="J50" s="2" t="n">
        <v>3</v>
      </c>
      <c r="K50" s="2" t="inlineStr">
        <is>
          <t>Y</t>
        </is>
      </c>
    </row>
    <row r="51">
      <c r="A51" s="6" t="inlineStr">
        <is>
          <t>DD050</t>
        </is>
      </c>
      <c r="B51" s="28" t="n">
        <v>45775</v>
      </c>
      <c r="C51" s="6" t="inlineStr">
        <is>
          <t>Flameheart</t>
        </is>
      </c>
      <c r="D51" s="6" t="inlineStr">
        <is>
          <t>Coastal_Hop</t>
        </is>
      </c>
      <c r="E51" s="6" t="inlineStr">
        <is>
          <t>Fragile_Items</t>
        </is>
      </c>
      <c r="F51" s="29" t="n">
        <v>8.6</v>
      </c>
      <c r="G51" s="29" t="n">
        <v>2.9</v>
      </c>
      <c r="H51" s="9" t="n">
        <v>162</v>
      </c>
      <c r="I51" s="9" t="n">
        <v>11</v>
      </c>
      <c r="J51" s="6" t="n">
        <v>5</v>
      </c>
      <c r="K51" s="6" t="inlineStr">
        <is>
          <t>Y</t>
        </is>
      </c>
    </row>
    <row r="52">
      <c r="A52" s="2" t="inlineStr">
        <is>
          <t>DD051</t>
        </is>
      </c>
      <c r="B52" s="26" t="n">
        <v>45928</v>
      </c>
      <c r="C52" s="2" t="inlineStr">
        <is>
          <t>Flameheart</t>
        </is>
      </c>
      <c r="D52" s="2" t="inlineStr">
        <is>
          <t>Cavern_Run</t>
        </is>
      </c>
      <c r="E52" s="2" t="inlineStr">
        <is>
          <t>Oversized</t>
        </is>
      </c>
      <c r="F52" s="27" t="n">
        <v>64.2</v>
      </c>
      <c r="G52" s="27" t="n">
        <v>6</v>
      </c>
      <c r="H52" s="5" t="n">
        <v>358</v>
      </c>
      <c r="I52" s="5" t="n">
        <v>26</v>
      </c>
      <c r="J52" s="2" t="n">
        <v>5</v>
      </c>
      <c r="K52" s="2" t="inlineStr">
        <is>
          <t>Y</t>
        </is>
      </c>
    </row>
    <row r="53">
      <c r="A53" s="6" t="inlineStr">
        <is>
          <t>DD052</t>
        </is>
      </c>
      <c r="B53" s="28" t="n">
        <v>45916</v>
      </c>
      <c r="C53" s="6" t="inlineStr">
        <is>
          <t>Stonewing</t>
        </is>
      </c>
      <c r="D53" s="6" t="inlineStr">
        <is>
          <t>Sky_Summit</t>
        </is>
      </c>
      <c r="E53" s="6" t="inlineStr">
        <is>
          <t>Standard_Parcels</t>
        </is>
      </c>
      <c r="F53" s="29" t="n">
        <v>13.1</v>
      </c>
      <c r="G53" s="29" t="n">
        <v>1.8</v>
      </c>
      <c r="H53" s="9" t="n">
        <v>388</v>
      </c>
      <c r="I53" s="9" t="n">
        <v>44</v>
      </c>
      <c r="J53" s="6" t="n">
        <v>5</v>
      </c>
      <c r="K53" s="6" t="inlineStr">
        <is>
          <t>Y</t>
        </is>
      </c>
    </row>
    <row r="54">
      <c r="A54" s="2" t="inlineStr">
        <is>
          <t>DD053</t>
        </is>
      </c>
      <c r="B54" s="26" t="n">
        <v>45890</v>
      </c>
      <c r="C54" s="2" t="inlineStr">
        <is>
          <t>Stonewing</t>
        </is>
      </c>
      <c r="D54" s="2" t="inlineStr">
        <is>
          <t>Sky_Summit</t>
        </is>
      </c>
      <c r="E54" s="2" t="inlineStr">
        <is>
          <t>Luxury_Goods</t>
        </is>
      </c>
      <c r="F54" s="27" t="n">
        <v>13.76587877323822</v>
      </c>
      <c r="G54" s="27" t="n">
        <v>0.8</v>
      </c>
      <c r="H54" s="5" t="n">
        <v>628</v>
      </c>
      <c r="I54" s="5" t="n">
        <v>62</v>
      </c>
      <c r="J54" s="2" t="n">
        <v>5</v>
      </c>
      <c r="K54" s="2" t="inlineStr">
        <is>
          <t>Y</t>
        </is>
      </c>
    </row>
    <row r="55">
      <c r="A55" s="6" t="inlineStr">
        <is>
          <t>DD054</t>
        </is>
      </c>
      <c r="B55" s="28" t="n">
        <v>45856</v>
      </c>
      <c r="C55" s="6" t="inlineStr">
        <is>
          <t>Mossclaw</t>
        </is>
      </c>
      <c r="D55" s="6" t="inlineStr">
        <is>
          <t>Coastal_Hop</t>
        </is>
      </c>
      <c r="E55" s="6" t="inlineStr">
        <is>
          <t>Luxury_Goods</t>
        </is>
      </c>
      <c r="F55" s="29" t="n">
        <v>6.7</v>
      </c>
      <c r="G55" s="29" t="n">
        <v>0.8</v>
      </c>
      <c r="H55" s="9" t="n">
        <v>241</v>
      </c>
      <c r="I55" s="9" t="n">
        <v>0</v>
      </c>
      <c r="J55" s="6" t="n">
        <v>2</v>
      </c>
      <c r="K55" s="6" t="inlineStr">
        <is>
          <t>N</t>
        </is>
      </c>
    </row>
    <row r="56">
      <c r="A56" s="2" t="inlineStr">
        <is>
          <t>DD055</t>
        </is>
      </c>
      <c r="B56" s="26" t="n">
        <v>45892</v>
      </c>
      <c r="C56" s="2" t="inlineStr">
        <is>
          <t>Cinderpuff</t>
        </is>
      </c>
      <c r="D56" s="2" t="inlineStr">
        <is>
          <t>Mountain_Pass</t>
        </is>
      </c>
      <c r="E56" s="2" t="inlineStr">
        <is>
          <t>Perishables</t>
        </is>
      </c>
      <c r="F56" s="27" t="n">
        <v>5.6</v>
      </c>
      <c r="G56" s="27" t="n">
        <v>0.5</v>
      </c>
      <c r="H56" s="5" t="n">
        <v>502</v>
      </c>
      <c r="I56" s="5" t="n">
        <v>4</v>
      </c>
      <c r="J56" s="2" t="n">
        <v>2</v>
      </c>
      <c r="K56" s="2" t="inlineStr">
        <is>
          <t>N</t>
        </is>
      </c>
    </row>
    <row r="57">
      <c r="A57" s="6" t="inlineStr">
        <is>
          <t>DD056</t>
        </is>
      </c>
      <c r="B57" s="28" t="n">
        <v>45842</v>
      </c>
      <c r="C57" s="6" t="inlineStr">
        <is>
          <t>Stonewing</t>
        </is>
      </c>
      <c r="D57" s="6" t="inlineStr">
        <is>
          <t>Mountain_Pass</t>
        </is>
      </c>
      <c r="E57" s="6" t="inlineStr">
        <is>
          <t>Luxury_Goods</t>
        </is>
      </c>
      <c r="F57" s="29" t="n">
        <v>13.2</v>
      </c>
      <c r="G57" s="29" t="n">
        <v>0.5</v>
      </c>
      <c r="H57" s="9" t="n">
        <v>783</v>
      </c>
      <c r="I57" s="9" t="n">
        <v>0</v>
      </c>
      <c r="J57" s="6" t="n">
        <v>4</v>
      </c>
      <c r="K57" s="6" t="inlineStr">
        <is>
          <t>Y</t>
        </is>
      </c>
    </row>
    <row r="58">
      <c r="A58" s="2" t="inlineStr">
        <is>
          <t>DD057</t>
        </is>
      </c>
      <c r="B58" s="26" t="n">
        <v>45928</v>
      </c>
      <c r="C58" s="2" t="inlineStr">
        <is>
          <t>Cinderpuff</t>
        </is>
      </c>
      <c r="D58" s="2" t="inlineStr">
        <is>
          <t>Forest_Trail</t>
        </is>
      </c>
      <c r="E58" s="2" t="inlineStr">
        <is>
          <t>Standard_Parcels</t>
        </is>
      </c>
      <c r="F58" s="27" t="n">
        <v>25.4</v>
      </c>
      <c r="G58" s="27" t="n">
        <v>4.4</v>
      </c>
      <c r="H58" s="5" t="n">
        <v>341</v>
      </c>
      <c r="I58" s="5" t="n">
        <v>10</v>
      </c>
      <c r="J58" s="2" t="n">
        <v>1</v>
      </c>
      <c r="K58" s="2" t="inlineStr">
        <is>
          <t>N</t>
        </is>
      </c>
    </row>
    <row r="59">
      <c r="A59" s="6" t="inlineStr">
        <is>
          <t>DD058</t>
        </is>
      </c>
      <c r="B59" s="28" t="n">
        <v>45842</v>
      </c>
      <c r="C59" s="6" t="inlineStr">
        <is>
          <t>Cinderpuff</t>
        </is>
      </c>
      <c r="D59" s="6" t="inlineStr">
        <is>
          <t>Cavern_Run</t>
        </is>
      </c>
      <c r="E59" s="6" t="inlineStr">
        <is>
          <t>Perishables</t>
        </is>
      </c>
      <c r="F59" s="29" t="n">
        <v>16.9</v>
      </c>
      <c r="G59" s="29" t="n">
        <v>1.6</v>
      </c>
      <c r="H59" s="9" t="n">
        <v>299</v>
      </c>
      <c r="I59" s="9" t="n">
        <v>4</v>
      </c>
      <c r="J59" s="6" t="n">
        <v>5</v>
      </c>
      <c r="K59" s="6" t="inlineStr">
        <is>
          <t>Y</t>
        </is>
      </c>
    </row>
    <row r="60">
      <c r="A60" s="2" t="inlineStr">
        <is>
          <t>DD059</t>
        </is>
      </c>
      <c r="B60" s="26" t="n">
        <v>45870</v>
      </c>
      <c r="C60" s="2" t="inlineStr">
        <is>
          <t>Flameheart</t>
        </is>
      </c>
      <c r="D60" s="2" t="inlineStr">
        <is>
          <t>Forest_Trail</t>
        </is>
      </c>
      <c r="E60" s="2" t="inlineStr">
        <is>
          <t>Fragile_Items</t>
        </is>
      </c>
      <c r="F60" s="27" t="n">
        <v>12.9</v>
      </c>
      <c r="G60" s="27" t="n">
        <v>1.3</v>
      </c>
      <c r="H60" s="5" t="n">
        <v>437</v>
      </c>
      <c r="I60" s="5" t="n">
        <v>2</v>
      </c>
      <c r="J60" s="2" t="n">
        <v>4</v>
      </c>
      <c r="K60" s="2" t="inlineStr">
        <is>
          <t>Y</t>
        </is>
      </c>
    </row>
    <row r="61">
      <c r="A61" s="6" t="inlineStr">
        <is>
          <t>DD060</t>
        </is>
      </c>
      <c r="B61" s="28" t="n">
        <v>45886</v>
      </c>
      <c r="C61" s="6" t="inlineStr">
        <is>
          <t>Flameheart</t>
        </is>
      </c>
      <c r="D61" s="6" t="inlineStr">
        <is>
          <t>Forest_Trail</t>
        </is>
      </c>
      <c r="E61" s="6" t="inlineStr">
        <is>
          <t>Fragile_Items</t>
        </is>
      </c>
      <c r="F61" s="29" t="n">
        <v>1.2</v>
      </c>
      <c r="G61" s="29" t="n">
        <v>0.7</v>
      </c>
      <c r="H61" s="9" t="n">
        <v>361</v>
      </c>
      <c r="I61" s="9" t="n">
        <v>31</v>
      </c>
      <c r="J61" s="6" t="n">
        <v>5</v>
      </c>
      <c r="K61" s="6" t="inlineStr">
        <is>
          <t>Y</t>
        </is>
      </c>
    </row>
    <row r="62">
      <c r="A62" s="2" t="inlineStr">
        <is>
          <t>DD061</t>
        </is>
      </c>
      <c r="B62" s="26" t="n">
        <v>45920</v>
      </c>
      <c r="C62" s="2" t="inlineStr">
        <is>
          <t>Mossclaw</t>
        </is>
      </c>
      <c r="D62" s="2" t="inlineStr">
        <is>
          <t>Coastal_Hop</t>
        </is>
      </c>
      <c r="E62" s="2" t="inlineStr">
        <is>
          <t>Perishables</t>
        </is>
      </c>
      <c r="F62" s="27" t="n">
        <v>10.3</v>
      </c>
      <c r="G62" s="27" t="n">
        <v>0.5</v>
      </c>
      <c r="H62" s="5" t="n">
        <v>147</v>
      </c>
      <c r="I62" s="5" t="n">
        <v>0</v>
      </c>
      <c r="J62" s="2" t="n">
        <v>2</v>
      </c>
      <c r="K62" s="2" t="inlineStr">
        <is>
          <t>N</t>
        </is>
      </c>
    </row>
    <row r="63">
      <c r="A63" s="6" t="inlineStr">
        <is>
          <t>DD062</t>
        </is>
      </c>
      <c r="B63" s="28" t="n">
        <v>45880</v>
      </c>
      <c r="C63" s="6" t="inlineStr">
        <is>
          <t>Stonewing</t>
        </is>
      </c>
      <c r="D63" s="6" t="inlineStr">
        <is>
          <t>Mountain_Pass</t>
        </is>
      </c>
      <c r="E63" s="6" t="inlineStr">
        <is>
          <t>Fragile_Items</t>
        </is>
      </c>
      <c r="F63" s="29" t="n">
        <v>13.3</v>
      </c>
      <c r="G63" s="29" t="n">
        <v>1.6</v>
      </c>
      <c r="H63" s="9" t="n">
        <v>526</v>
      </c>
      <c r="I63" s="9" t="n">
        <v>29</v>
      </c>
      <c r="J63" s="6" t="n">
        <v>5</v>
      </c>
      <c r="K63" s="6" t="inlineStr">
        <is>
          <t>Y</t>
        </is>
      </c>
    </row>
    <row r="64">
      <c r="A64" s="2" t="inlineStr">
        <is>
          <t>DD063</t>
        </is>
      </c>
      <c r="B64" s="26" t="n">
        <v>45882</v>
      </c>
      <c r="C64" s="2" t="inlineStr">
        <is>
          <t>Flameheart</t>
        </is>
      </c>
      <c r="D64" s="2" t="inlineStr">
        <is>
          <t>Coastal_Hop</t>
        </is>
      </c>
      <c r="E64" s="2" t="inlineStr">
        <is>
          <t>Luxury_Goods</t>
        </is>
      </c>
      <c r="F64" s="27" t="n">
        <v>12.63259811222718</v>
      </c>
      <c r="G64" s="27" t="n">
        <v>1.7</v>
      </c>
      <c r="H64" s="5" t="n">
        <v>224</v>
      </c>
      <c r="I64" s="5" t="n">
        <v>0</v>
      </c>
      <c r="J64" s="2" t="n">
        <v>5</v>
      </c>
      <c r="K64" s="2" t="inlineStr">
        <is>
          <t>Y</t>
        </is>
      </c>
    </row>
    <row r="65">
      <c r="A65" s="6" t="inlineStr">
        <is>
          <t>DD064</t>
        </is>
      </c>
      <c r="B65" s="28" t="n">
        <v>45869</v>
      </c>
      <c r="C65" s="6" t="inlineStr">
        <is>
          <t>Mossclaw</t>
        </is>
      </c>
      <c r="D65" s="6" t="inlineStr">
        <is>
          <t>Sky_Summit</t>
        </is>
      </c>
      <c r="E65" s="6" t="inlineStr">
        <is>
          <t>Oversized</t>
        </is>
      </c>
      <c r="F65" s="29" t="n">
        <v>98.2</v>
      </c>
      <c r="G65" s="29" t="n">
        <v>9</v>
      </c>
      <c r="H65" s="9" t="n">
        <v>543</v>
      </c>
      <c r="I65" s="9" t="n">
        <v>61</v>
      </c>
      <c r="J65" s="6" t="n">
        <v>4</v>
      </c>
      <c r="K65" s="6" t="inlineStr">
        <is>
          <t>Y</t>
        </is>
      </c>
    </row>
    <row r="66">
      <c r="A66" s="2" t="inlineStr">
        <is>
          <t>DD065</t>
        </is>
      </c>
      <c r="B66" s="26" t="n">
        <v>45841</v>
      </c>
      <c r="C66" s="2" t="inlineStr">
        <is>
          <t>Flameheart</t>
        </is>
      </c>
      <c r="D66" s="2" t="inlineStr">
        <is>
          <t>Mountain_Pass</t>
        </is>
      </c>
      <c r="E66" s="2" t="inlineStr">
        <is>
          <t>Perishables</t>
        </is>
      </c>
      <c r="F66" s="27" t="n">
        <v>25.8</v>
      </c>
      <c r="G66" s="27" t="n">
        <v>2</v>
      </c>
      <c r="H66" s="5" t="n">
        <v>526</v>
      </c>
      <c r="I66" s="5" t="n">
        <v>33</v>
      </c>
      <c r="J66" s="2" t="n">
        <v>5</v>
      </c>
      <c r="K66" s="2" t="inlineStr">
        <is>
          <t>Y</t>
        </is>
      </c>
    </row>
    <row r="67">
      <c r="A67" s="6" t="inlineStr">
        <is>
          <t>DD066</t>
        </is>
      </c>
      <c r="B67" s="28" t="n">
        <v>45909</v>
      </c>
      <c r="C67" s="6" t="inlineStr">
        <is>
          <t>Cinderpuff</t>
        </is>
      </c>
      <c r="D67" s="6" t="inlineStr">
        <is>
          <t>Mountain_Pass</t>
        </is>
      </c>
      <c r="E67" s="6" t="inlineStr">
        <is>
          <t>Perishables</t>
        </is>
      </c>
      <c r="F67" s="29" t="n">
        <v>13.1</v>
      </c>
      <c r="G67" s="29" t="n">
        <v>3.3</v>
      </c>
      <c r="H67" s="9" t="n">
        <v>498</v>
      </c>
      <c r="I67" s="9" t="n">
        <v>7</v>
      </c>
      <c r="J67" s="6" t="n">
        <v>2</v>
      </c>
      <c r="K67" s="6" t="inlineStr">
        <is>
          <t>N</t>
        </is>
      </c>
    </row>
    <row r="68">
      <c r="A68" s="2" t="inlineStr">
        <is>
          <t>DD067</t>
        </is>
      </c>
      <c r="B68" s="26" t="n">
        <v>45907</v>
      </c>
      <c r="C68" s="2" t="inlineStr">
        <is>
          <t>Stonewing</t>
        </is>
      </c>
      <c r="D68" s="2" t="inlineStr">
        <is>
          <t>Coastal_Hop</t>
        </is>
      </c>
      <c r="E68" s="2" t="inlineStr">
        <is>
          <t>Standard_Parcels</t>
        </is>
      </c>
      <c r="F68" s="27" t="n">
        <v>30.3</v>
      </c>
      <c r="G68" s="27" t="n">
        <v>2.6</v>
      </c>
      <c r="H68" s="5" t="n">
        <v>176</v>
      </c>
      <c r="I68" s="5" t="n">
        <v>14</v>
      </c>
      <c r="J68" s="2" t="n">
        <v>1</v>
      </c>
      <c r="K68" s="2" t="inlineStr">
        <is>
          <t>N</t>
        </is>
      </c>
    </row>
    <row r="69">
      <c r="A69" s="6" t="inlineStr">
        <is>
          <t>DD068</t>
        </is>
      </c>
      <c r="B69" s="28" t="n">
        <v>45885</v>
      </c>
      <c r="C69" s="6" t="inlineStr">
        <is>
          <t>Stonewing</t>
        </is>
      </c>
      <c r="D69" s="6" t="inlineStr">
        <is>
          <t>Forest_Trail</t>
        </is>
      </c>
      <c r="E69" s="6" t="inlineStr">
        <is>
          <t>Luxury_Goods</t>
        </is>
      </c>
      <c r="F69" s="29" t="n">
        <v>14.7</v>
      </c>
      <c r="G69" s="29" t="n">
        <v>3.5</v>
      </c>
      <c r="H69" s="9" t="n">
        <v>430</v>
      </c>
      <c r="I69" s="9" t="n">
        <v>2</v>
      </c>
      <c r="J69" s="6" t="n">
        <v>2</v>
      </c>
      <c r="K69" s="6" t="inlineStr">
        <is>
          <t>N</t>
        </is>
      </c>
    </row>
    <row r="70">
      <c r="A70" s="2" t="inlineStr">
        <is>
          <t>DD069</t>
        </is>
      </c>
      <c r="B70" s="26" t="n">
        <v>45928</v>
      </c>
      <c r="C70" s="2" t="inlineStr">
        <is>
          <t>Stonewing</t>
        </is>
      </c>
      <c r="D70" s="2" t="inlineStr">
        <is>
          <t>Sky_Summit</t>
        </is>
      </c>
      <c r="E70" s="2" t="inlineStr">
        <is>
          <t>Luxury_Goods</t>
        </is>
      </c>
      <c r="F70" s="27" t="n">
        <v>17.7</v>
      </c>
      <c r="G70" s="27" t="n">
        <v>0.9</v>
      </c>
      <c r="H70" s="5" t="n">
        <v>612</v>
      </c>
      <c r="I70" s="5" t="n">
        <v>31</v>
      </c>
      <c r="J70" s="2" t="n">
        <v>1</v>
      </c>
      <c r="K70" s="2" t="inlineStr">
        <is>
          <t>N</t>
        </is>
      </c>
    </row>
    <row r="71">
      <c r="A71" s="6" t="inlineStr">
        <is>
          <t>DD070</t>
        </is>
      </c>
      <c r="B71" s="28" t="n">
        <v>45900</v>
      </c>
      <c r="C71" s="6" t="inlineStr">
        <is>
          <t>Flameheart</t>
        </is>
      </c>
      <c r="D71" s="6" t="inlineStr">
        <is>
          <t>Sky_Summit</t>
        </is>
      </c>
      <c r="E71" s="6" t="inlineStr">
        <is>
          <t>Perishables</t>
        </is>
      </c>
      <c r="F71" s="29" t="n">
        <v>19.8</v>
      </c>
      <c r="G71" s="29" t="n">
        <v>1.6</v>
      </c>
      <c r="H71" s="9" t="n">
        <v>442</v>
      </c>
      <c r="I71" s="9" t="n">
        <v>63</v>
      </c>
      <c r="J71" s="6" t="n">
        <v>3</v>
      </c>
      <c r="K71" s="6" t="inlineStr">
        <is>
          <t>Y</t>
        </is>
      </c>
    </row>
    <row r="72">
      <c r="A72" s="2" t="inlineStr">
        <is>
          <t>DD071</t>
        </is>
      </c>
      <c r="B72" s="26" t="n">
        <v>45911</v>
      </c>
      <c r="C72" s="2" t="inlineStr">
        <is>
          <t>Cinderpuff</t>
        </is>
      </c>
      <c r="D72" s="2" t="inlineStr">
        <is>
          <t>Coastal_Hop</t>
        </is>
      </c>
      <c r="E72" s="2" t="inlineStr">
        <is>
          <t>Standard_Parcels</t>
        </is>
      </c>
      <c r="F72" s="27" t="n">
        <v>7.4</v>
      </c>
      <c r="G72" s="27" t="n">
        <v>1.6</v>
      </c>
      <c r="H72" s="5" t="n">
        <v>131</v>
      </c>
      <c r="I72" s="5" t="n">
        <v>0</v>
      </c>
      <c r="J72" s="2" t="n">
        <v>2</v>
      </c>
      <c r="K72" s="2" t="inlineStr">
        <is>
          <t>N</t>
        </is>
      </c>
    </row>
    <row r="73">
      <c r="A73" s="6" t="inlineStr">
        <is>
          <t>DD072</t>
        </is>
      </c>
      <c r="B73" s="28" t="n">
        <v>45895</v>
      </c>
      <c r="C73" s="6" t="inlineStr">
        <is>
          <t>Cinderpuff</t>
        </is>
      </c>
      <c r="D73" s="6" t="inlineStr">
        <is>
          <t>Cavern_Run</t>
        </is>
      </c>
      <c r="E73" s="6" t="inlineStr">
        <is>
          <t>Perishables</t>
        </is>
      </c>
      <c r="F73" s="29" t="n">
        <v>14.2</v>
      </c>
      <c r="G73" s="29" t="n">
        <v>0.5</v>
      </c>
      <c r="H73" s="9" t="n">
        <v>290</v>
      </c>
      <c r="I73" s="9" t="n">
        <v>39</v>
      </c>
      <c r="J73" s="6" t="n">
        <v>1</v>
      </c>
      <c r="K73" s="6" t="inlineStr">
        <is>
          <t>N</t>
        </is>
      </c>
    </row>
    <row r="74">
      <c r="A74" s="2" t="inlineStr">
        <is>
          <t>DD073</t>
        </is>
      </c>
      <c r="B74" s="26" t="n">
        <v>45865</v>
      </c>
      <c r="C74" s="2" t="inlineStr">
        <is>
          <t>Stonewing</t>
        </is>
      </c>
      <c r="D74" s="2" t="inlineStr">
        <is>
          <t>Forest_Trail</t>
        </is>
      </c>
      <c r="E74" s="2" t="inlineStr">
        <is>
          <t>Luxury_Goods</t>
        </is>
      </c>
      <c r="F74" s="27" t="n">
        <v>4.8</v>
      </c>
      <c r="G74" s="27" t="n">
        <v>1.5</v>
      </c>
      <c r="H74" s="5" t="n">
        <v>407</v>
      </c>
      <c r="I74" s="5" t="n">
        <v>28</v>
      </c>
      <c r="J74" s="2" t="n">
        <v>4</v>
      </c>
      <c r="K74" s="2" t="inlineStr">
        <is>
          <t>Y</t>
        </is>
      </c>
    </row>
    <row r="75">
      <c r="A75" s="6" t="inlineStr">
        <is>
          <t>DD074</t>
        </is>
      </c>
      <c r="B75" s="28" t="n">
        <v>45843</v>
      </c>
      <c r="C75" s="6" t="inlineStr">
        <is>
          <t>Stonewing</t>
        </is>
      </c>
      <c r="D75" s="6" t="inlineStr">
        <is>
          <t>Forest_Trail</t>
        </is>
      </c>
      <c r="E75" s="6" t="inlineStr">
        <is>
          <t>Fragile_Items</t>
        </is>
      </c>
      <c r="F75" s="29" t="n">
        <v>10.8</v>
      </c>
      <c r="G75" s="29" t="n">
        <v>2.1</v>
      </c>
      <c r="H75" s="9" t="n">
        <v>366</v>
      </c>
      <c r="I75" s="9" t="n">
        <v>14</v>
      </c>
      <c r="J75" s="6" t="n">
        <v>3</v>
      </c>
      <c r="K75" s="6" t="inlineStr">
        <is>
          <t>N</t>
        </is>
      </c>
    </row>
    <row r="76">
      <c r="A76" s="2" t="inlineStr">
        <is>
          <t>DD075</t>
        </is>
      </c>
      <c r="B76" s="26" t="n">
        <v>45919</v>
      </c>
      <c r="C76" s="2" t="inlineStr">
        <is>
          <t>Stonewing</t>
        </is>
      </c>
      <c r="D76" s="2" t="inlineStr">
        <is>
          <t>Sky_Summit</t>
        </is>
      </c>
      <c r="E76" s="2" t="inlineStr">
        <is>
          <t>Luxury_Goods</t>
        </is>
      </c>
      <c r="F76" s="27" t="n">
        <v>11.8</v>
      </c>
      <c r="G76" s="27" t="n">
        <v>0.5</v>
      </c>
      <c r="H76" s="5" t="n">
        <v>699</v>
      </c>
      <c r="I76" s="5" t="n">
        <v>24</v>
      </c>
      <c r="J76" s="2" t="n">
        <v>5</v>
      </c>
      <c r="K76" s="2" t="inlineStr">
        <is>
          <t>Y</t>
        </is>
      </c>
    </row>
  </sheetData>
  <autoFilter ref="A1:K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6" customWidth="1" min="3" max="3"/>
  </cols>
  <sheetData>
    <row r="1" ht="28" customHeight="1">
      <c r="A1" s="10" t="inlineStr">
        <is>
          <t>Summary Data — feeds the Dashboard (Completed)</t>
        </is>
      </c>
    </row>
    <row r="3" ht="20" customHeight="1">
      <c r="A3" s="11" t="inlineStr">
        <is>
          <t>Total Deliveries</t>
        </is>
      </c>
      <c r="B3" s="12">
        <f>COUNTA(Deliveries!A2:A76)</f>
        <v/>
      </c>
      <c r="C3" s="13">
        <f>COUNTA(Deliveries!A2:A76)</f>
        <v/>
      </c>
    </row>
    <row r="4" ht="20" customHeight="1">
      <c r="A4" s="11" t="inlineStr">
        <is>
          <t>Total Revenue (GP)</t>
        </is>
      </c>
      <c r="B4" s="12">
        <f>SUM(Deliveries!H2:H76)</f>
        <v/>
      </c>
      <c r="C4" s="13">
        <f>SUM(Deliveries!H2:H76)</f>
        <v/>
      </c>
    </row>
    <row r="5" ht="20" customHeight="1">
      <c r="A5" s="11" t="inlineStr">
        <is>
          <t>Avg Revenue / Delivery</t>
        </is>
      </c>
      <c r="B5" s="12">
        <f>AVERAGE(Deliveries!H2:H76)</f>
        <v/>
      </c>
      <c r="C5" s="14">
        <f>AVERAGE(Deliveries!H2:H76)</f>
        <v/>
      </c>
    </row>
    <row r="6" ht="20" customHeight="1">
      <c r="A6" s="11" t="inlineStr">
        <is>
          <t>Mountain_Pass Revenue</t>
        </is>
      </c>
      <c r="B6" s="12">
        <f>SUMIF(Deliveries!D2:D76,"Mountain_Pass",Deliveries!H2:H76)</f>
        <v/>
      </c>
      <c r="C6" s="13">
        <f>SUMIF(Deliveries!D2:D76,"Mountain_Pass",Deliveries!H2:H76)</f>
        <v/>
      </c>
    </row>
    <row r="7" ht="20" customHeight="1">
      <c r="A7" s="11" t="inlineStr">
        <is>
          <t>Average Customer Rating</t>
        </is>
      </c>
      <c r="B7" s="12">
        <f>AVERAGE(Deliveries!J2:J76)</f>
        <v/>
      </c>
      <c r="C7" s="15">
        <f>AVERAGE(Deliveries!J2:J76)</f>
        <v/>
      </c>
    </row>
    <row r="8" ht="20" customHeight="1">
      <c r="A8" s="11" t="inlineStr">
        <is>
          <t>Review-flag records</t>
        </is>
      </c>
      <c r="B8" s="12">
        <f>COUNTIF(Deliveries!J2:J76,"&lt;3")</f>
        <v/>
      </c>
      <c r="C8" s="13">
        <f>COUNTIF(Deliveries!J2:J76,"&lt;3")</f>
        <v/>
      </c>
    </row>
    <row r="9" ht="20" customHeight="1">
      <c r="A9" s="11" t="inlineStr">
        <is>
          <t>On-Time Deliveries</t>
        </is>
      </c>
      <c r="B9" s="12">
        <f>COUNTIF(Deliveries!K2:K76,"Y")</f>
        <v/>
      </c>
      <c r="C9" s="13">
        <f>COUNTIF(Deliveries!K2:K76,"Y")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4" customHeight="1">
      <c r="A1" s="16" t="inlineStr">
        <is>
          <t>DRAGONFLIGHT DELIVERIES LTD — Performance Dashboard (Completed)</t>
        </is>
      </c>
    </row>
    <row r="3">
      <c r="B3" s="17" t="inlineStr">
        <is>
          <t>TOTAL DELIVERIES
=Summary!C3</t>
        </is>
      </c>
      <c r="D3" s="17" t="inlineStr">
        <is>
          <t>TOTAL REVENUE (GP)
=Summary!C4</t>
        </is>
      </c>
      <c r="F3" s="17" t="inlineStr">
        <is>
          <t>AVG REVENUE (GP)
=Summary!C5</t>
        </is>
      </c>
    </row>
    <row r="4"/>
    <row r="5"/>
    <row r="7">
      <c r="A7" s="18" t="inlineStr">
        <is>
          <t>Pivot Chart: Revenue by Route — Mountain_Pass leads clearly. Cavern_Run is lowest.</t>
        </is>
      </c>
    </row>
  </sheetData>
  <mergeCells count="5">
    <mergeCell ref="F3:G5"/>
    <mergeCell ref="A7:H7"/>
    <mergeCell ref="D3:E5"/>
    <mergeCell ref="B3:C5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</cols>
  <sheetData>
    <row r="1" ht="26" customHeight="1">
      <c r="A1" s="10" t="inlineStr">
        <is>
          <t>Revenue by Route (for Pivot Chart)</t>
        </is>
      </c>
    </row>
    <row r="2">
      <c r="A2" s="11" t="inlineStr">
        <is>
          <t>Route</t>
        </is>
      </c>
      <c r="B2" s="11" t="inlineStr">
        <is>
          <t>Total Revenue (GP)</t>
        </is>
      </c>
      <c r="C2" s="11" t="inlineStr">
        <is>
          <t>% of Total</t>
        </is>
      </c>
    </row>
    <row r="3">
      <c r="A3" s="19" t="inlineStr">
        <is>
          <t>Mountain_Pass</t>
        </is>
      </c>
      <c r="B3" s="20">
        <f>SUMIF(Deliveries!D:D,A3,Deliveries!H:H)</f>
        <v/>
      </c>
      <c r="C3" s="30">
        <f>B3/SUM($B$3:$B$7)</f>
        <v/>
      </c>
    </row>
    <row r="4">
      <c r="A4" s="19" t="inlineStr">
        <is>
          <t>Sky_Summit</t>
        </is>
      </c>
      <c r="B4" s="20">
        <f>SUMIF(Deliveries!D:D,A4,Deliveries!H:H)</f>
        <v/>
      </c>
      <c r="C4" s="30">
        <f>B4/SUM($B$3:$B$7)</f>
        <v/>
      </c>
    </row>
    <row r="5">
      <c r="A5" s="19" t="inlineStr">
        <is>
          <t>Forest_Trail</t>
        </is>
      </c>
      <c r="B5" s="20">
        <f>SUMIF(Deliveries!D:D,A5,Deliveries!H:H)</f>
        <v/>
      </c>
      <c r="C5" s="30">
        <f>B5/SUM($B$3:$B$7)</f>
        <v/>
      </c>
    </row>
    <row r="6">
      <c r="A6" s="19" t="inlineStr">
        <is>
          <t>Coastal_Hop</t>
        </is>
      </c>
      <c r="B6" s="20">
        <f>SUMIF(Deliveries!D:D,A6,Deliveries!H:H)</f>
        <v/>
      </c>
      <c r="C6" s="30">
        <f>B6/SUM($B$3:$B$7)</f>
        <v/>
      </c>
    </row>
    <row r="7">
      <c r="A7" s="19" t="inlineStr">
        <is>
          <t>Cavern_Run</t>
        </is>
      </c>
      <c r="B7" s="20">
        <f>SUMIF(Deliveries!D:D,A7,Deliveries!H:H)</f>
        <v/>
      </c>
      <c r="C7" s="30">
        <f>B7/SUM($B$3:$B$7)</f>
        <v/>
      </c>
    </row>
    <row r="8">
      <c r="A8" s="11" t="inlineStr">
        <is>
          <t>TOTAL</t>
        </is>
      </c>
      <c r="B8" s="22">
        <f>SUM(B3:B7)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6" customWidth="1" min="3" max="3"/>
  </cols>
  <sheetData>
    <row r="1" ht="26" customHeight="1">
      <c r="A1" s="10" t="inlineStr">
        <is>
          <t>Scatter: Cargo_Weight_kg vs Flight_Time_Hours</t>
        </is>
      </c>
    </row>
    <row r="2">
      <c r="A2" s="11" t="inlineStr">
        <is>
          <t>Cargo_Weight_kg</t>
        </is>
      </c>
      <c r="B2" s="11" t="inlineStr">
        <is>
          <t>Flight_Time_Hours</t>
        </is>
      </c>
      <c r="C2" s="11" t="inlineStr">
        <is>
          <t>Notes</t>
        </is>
      </c>
    </row>
    <row r="3">
      <c r="A3">
        <f>Deliveries!F2</f>
        <v/>
      </c>
      <c r="B3">
        <f>Deliveries!G2</f>
        <v/>
      </c>
    </row>
    <row r="4">
      <c r="A4">
        <f>Deliveries!F3</f>
        <v/>
      </c>
      <c r="B4">
        <f>Deliveries!G3</f>
        <v/>
      </c>
    </row>
    <row r="5">
      <c r="A5">
        <f>Deliveries!F4</f>
        <v/>
      </c>
      <c r="B5">
        <f>Deliveries!G4</f>
        <v/>
      </c>
    </row>
    <row r="6">
      <c r="A6">
        <f>Deliveries!F5</f>
        <v/>
      </c>
      <c r="B6">
        <f>Deliveries!G5</f>
        <v/>
      </c>
    </row>
    <row r="7">
      <c r="A7">
        <f>Deliveries!F6</f>
        <v/>
      </c>
      <c r="B7">
        <f>Deliveries!G6</f>
        <v/>
      </c>
    </row>
    <row r="8">
      <c r="A8">
        <f>Deliveries!F7</f>
        <v/>
      </c>
      <c r="B8">
        <f>Deliveries!G7</f>
        <v/>
      </c>
    </row>
    <row r="9">
      <c r="A9">
        <f>Deliveries!F8</f>
        <v/>
      </c>
      <c r="B9">
        <f>Deliveries!G8</f>
        <v/>
      </c>
    </row>
    <row r="10">
      <c r="A10">
        <f>Deliveries!F9</f>
        <v/>
      </c>
      <c r="B10">
        <f>Deliveries!G9</f>
        <v/>
      </c>
    </row>
    <row r="11">
      <c r="A11">
        <f>Deliveries!F10</f>
        <v/>
      </c>
      <c r="B11">
        <f>Deliveries!G10</f>
        <v/>
      </c>
    </row>
    <row r="12">
      <c r="A12">
        <f>Deliveries!F11</f>
        <v/>
      </c>
      <c r="B12">
        <f>Deliveries!G11</f>
        <v/>
      </c>
    </row>
    <row r="13">
      <c r="A13">
        <f>Deliveries!F12</f>
        <v/>
      </c>
      <c r="B13">
        <f>Deliveries!G12</f>
        <v/>
      </c>
    </row>
    <row r="14">
      <c r="A14">
        <f>Deliveries!F13</f>
        <v/>
      </c>
      <c r="B14">
        <f>Deliveries!G13</f>
        <v/>
      </c>
    </row>
    <row r="15">
      <c r="A15">
        <f>Deliveries!F14</f>
        <v/>
      </c>
      <c r="B15">
        <f>Deliveries!G14</f>
        <v/>
      </c>
    </row>
    <row r="16">
      <c r="A16">
        <f>Deliveries!F15</f>
        <v/>
      </c>
      <c r="B16">
        <f>Deliveries!G15</f>
        <v/>
      </c>
    </row>
    <row r="17">
      <c r="A17">
        <f>Deliveries!F16</f>
        <v/>
      </c>
      <c r="B17">
        <f>Deliveries!G16</f>
        <v/>
      </c>
    </row>
    <row r="18">
      <c r="A18">
        <f>Deliveries!F17</f>
        <v/>
      </c>
      <c r="B18">
        <f>Deliveries!G17</f>
        <v/>
      </c>
    </row>
    <row r="19">
      <c r="A19">
        <f>Deliveries!F18</f>
        <v/>
      </c>
      <c r="B19">
        <f>Deliveries!G18</f>
        <v/>
      </c>
    </row>
    <row r="20">
      <c r="A20">
        <f>Deliveries!F19</f>
        <v/>
      </c>
      <c r="B20">
        <f>Deliveries!G19</f>
        <v/>
      </c>
    </row>
    <row r="21">
      <c r="A21">
        <f>Deliveries!F20</f>
        <v/>
      </c>
      <c r="B21">
        <f>Deliveries!G20</f>
        <v/>
      </c>
    </row>
    <row r="22">
      <c r="A22">
        <f>Deliveries!F21</f>
        <v/>
      </c>
      <c r="B22">
        <f>Deliveries!G21</f>
        <v/>
      </c>
    </row>
    <row r="23">
      <c r="A23">
        <f>Deliveries!F22</f>
        <v/>
      </c>
      <c r="B23">
        <f>Deliveries!G22</f>
        <v/>
      </c>
    </row>
    <row r="24">
      <c r="A24">
        <f>Deliveries!F23</f>
        <v/>
      </c>
      <c r="B24">
        <f>Deliveries!G23</f>
        <v/>
      </c>
    </row>
    <row r="25">
      <c r="A25">
        <f>Deliveries!F24</f>
        <v/>
      </c>
      <c r="B25">
        <f>Deliveries!G24</f>
        <v/>
      </c>
    </row>
    <row r="26">
      <c r="A26">
        <f>Deliveries!F25</f>
        <v/>
      </c>
      <c r="B26">
        <f>Deliveries!G25</f>
        <v/>
      </c>
    </row>
    <row r="27">
      <c r="A27">
        <f>Deliveries!F26</f>
        <v/>
      </c>
      <c r="B27">
        <f>Deliveries!G26</f>
        <v/>
      </c>
    </row>
    <row r="28">
      <c r="A28">
        <f>Deliveries!F27</f>
        <v/>
      </c>
      <c r="B28">
        <f>Deliveries!G27</f>
        <v/>
      </c>
    </row>
    <row r="29">
      <c r="A29">
        <f>Deliveries!F28</f>
        <v/>
      </c>
      <c r="B29">
        <f>Deliveries!G28</f>
        <v/>
      </c>
    </row>
    <row r="30">
      <c r="A30">
        <f>Deliveries!F29</f>
        <v/>
      </c>
      <c r="B30">
        <f>Deliveries!G29</f>
        <v/>
      </c>
    </row>
    <row r="31">
      <c r="A31">
        <f>Deliveries!F30</f>
        <v/>
      </c>
      <c r="B31">
        <f>Deliveries!G30</f>
        <v/>
      </c>
    </row>
    <row r="32">
      <c r="A32">
        <f>Deliveries!F31</f>
        <v/>
      </c>
      <c r="B32">
        <f>Deliveries!G31</f>
        <v/>
      </c>
    </row>
    <row r="33">
      <c r="A33">
        <f>Deliveries!F32</f>
        <v/>
      </c>
      <c r="B33">
        <f>Deliveries!G32</f>
        <v/>
      </c>
    </row>
    <row r="34">
      <c r="A34">
        <f>Deliveries!F33</f>
        <v/>
      </c>
      <c r="B34">
        <f>Deliveries!G33</f>
        <v/>
      </c>
    </row>
    <row r="35">
      <c r="A35">
        <f>Deliveries!F34</f>
        <v/>
      </c>
      <c r="B35">
        <f>Deliveries!G34</f>
        <v/>
      </c>
    </row>
    <row r="36">
      <c r="A36">
        <f>Deliveries!F35</f>
        <v/>
      </c>
      <c r="B36">
        <f>Deliveries!G35</f>
        <v/>
      </c>
    </row>
    <row r="37">
      <c r="A37">
        <f>Deliveries!F36</f>
        <v/>
      </c>
      <c r="B37">
        <f>Deliveries!G36</f>
        <v/>
      </c>
    </row>
    <row r="38">
      <c r="A38">
        <f>Deliveries!F37</f>
        <v/>
      </c>
      <c r="B38">
        <f>Deliveries!G37</f>
        <v/>
      </c>
    </row>
    <row r="39">
      <c r="A39">
        <f>Deliveries!F38</f>
        <v/>
      </c>
      <c r="B39">
        <f>Deliveries!G38</f>
        <v/>
      </c>
      <c r="C39" s="23" t="inlineStr">
        <is>
          <t>OUTLIER — DD037: 150kg / 0.5 hrs (check!)</t>
        </is>
      </c>
    </row>
    <row r="40">
      <c r="A40">
        <f>Deliveries!F39</f>
        <v/>
      </c>
      <c r="B40">
        <f>Deliveries!G39</f>
        <v/>
      </c>
    </row>
    <row r="41">
      <c r="A41">
        <f>Deliveries!F40</f>
        <v/>
      </c>
      <c r="B41">
        <f>Deliveries!G40</f>
        <v/>
      </c>
    </row>
    <row r="42">
      <c r="A42">
        <f>Deliveries!F41</f>
        <v/>
      </c>
      <c r="B42">
        <f>Deliveries!G41</f>
        <v/>
      </c>
    </row>
    <row r="43">
      <c r="A43">
        <f>Deliveries!F42</f>
        <v/>
      </c>
      <c r="B43">
        <f>Deliveries!G42</f>
        <v/>
      </c>
    </row>
    <row r="44">
      <c r="A44">
        <f>Deliveries!F43</f>
        <v/>
      </c>
      <c r="B44">
        <f>Deliveries!G43</f>
        <v/>
      </c>
    </row>
    <row r="45">
      <c r="A45">
        <f>Deliveries!F44</f>
        <v/>
      </c>
      <c r="B45">
        <f>Deliveries!G44</f>
        <v/>
      </c>
    </row>
    <row r="46">
      <c r="A46">
        <f>Deliveries!F45</f>
        <v/>
      </c>
      <c r="B46">
        <f>Deliveries!G45</f>
        <v/>
      </c>
    </row>
    <row r="47">
      <c r="A47">
        <f>Deliveries!F46</f>
        <v/>
      </c>
      <c r="B47">
        <f>Deliveries!G46</f>
        <v/>
      </c>
    </row>
    <row r="48">
      <c r="A48">
        <f>Deliveries!F47</f>
        <v/>
      </c>
      <c r="B48">
        <f>Deliveries!G47</f>
        <v/>
      </c>
    </row>
    <row r="49">
      <c r="A49">
        <f>Deliveries!F48</f>
        <v/>
      </c>
      <c r="B49">
        <f>Deliveries!G48</f>
        <v/>
      </c>
    </row>
    <row r="50">
      <c r="A50">
        <f>Deliveries!F49</f>
        <v/>
      </c>
      <c r="B50">
        <f>Deliveries!G49</f>
        <v/>
      </c>
    </row>
    <row r="51">
      <c r="A51">
        <f>Deliveries!F50</f>
        <v/>
      </c>
      <c r="B51">
        <f>Deliveries!G50</f>
        <v/>
      </c>
    </row>
    <row r="52">
      <c r="A52">
        <f>Deliveries!F51</f>
        <v/>
      </c>
      <c r="B52">
        <f>Deliveries!G51</f>
        <v/>
      </c>
    </row>
    <row r="53">
      <c r="A53">
        <f>Deliveries!F52</f>
        <v/>
      </c>
      <c r="B53">
        <f>Deliveries!G52</f>
        <v/>
      </c>
    </row>
    <row r="54">
      <c r="A54">
        <f>Deliveries!F53</f>
        <v/>
      </c>
      <c r="B54">
        <f>Deliveries!G53</f>
        <v/>
      </c>
    </row>
    <row r="55">
      <c r="A55">
        <f>Deliveries!F54</f>
        <v/>
      </c>
      <c r="B55">
        <f>Deliveries!G54</f>
        <v/>
      </c>
    </row>
    <row r="56">
      <c r="A56">
        <f>Deliveries!F55</f>
        <v/>
      </c>
      <c r="B56">
        <f>Deliveries!G55</f>
        <v/>
      </c>
    </row>
    <row r="57">
      <c r="A57">
        <f>Deliveries!F56</f>
        <v/>
      </c>
      <c r="B57">
        <f>Deliveries!G56</f>
        <v/>
      </c>
    </row>
    <row r="58">
      <c r="A58">
        <f>Deliveries!F57</f>
        <v/>
      </c>
      <c r="B58">
        <f>Deliveries!G57</f>
        <v/>
      </c>
    </row>
    <row r="59">
      <c r="A59">
        <f>Deliveries!F58</f>
        <v/>
      </c>
      <c r="B59">
        <f>Deliveries!G58</f>
        <v/>
      </c>
    </row>
    <row r="60">
      <c r="A60">
        <f>Deliveries!F59</f>
        <v/>
      </c>
      <c r="B60">
        <f>Deliveries!G59</f>
        <v/>
      </c>
    </row>
    <row r="61">
      <c r="A61">
        <f>Deliveries!F60</f>
        <v/>
      </c>
      <c r="B61">
        <f>Deliveries!G60</f>
        <v/>
      </c>
    </row>
    <row r="62">
      <c r="A62">
        <f>Deliveries!F61</f>
        <v/>
      </c>
      <c r="B62">
        <f>Deliveries!G61</f>
        <v/>
      </c>
    </row>
    <row r="63">
      <c r="A63">
        <f>Deliveries!F62</f>
        <v/>
      </c>
      <c r="B63">
        <f>Deliveries!G62</f>
        <v/>
      </c>
    </row>
    <row r="64">
      <c r="A64">
        <f>Deliveries!F63</f>
        <v/>
      </c>
      <c r="B64">
        <f>Deliveries!G63</f>
        <v/>
      </c>
    </row>
    <row r="65">
      <c r="A65">
        <f>Deliveries!F64</f>
        <v/>
      </c>
      <c r="B65">
        <f>Deliveries!G64</f>
        <v/>
      </c>
    </row>
    <row r="66">
      <c r="A66">
        <f>Deliveries!F65</f>
        <v/>
      </c>
      <c r="B66">
        <f>Deliveries!G65</f>
        <v/>
      </c>
    </row>
    <row r="67">
      <c r="A67">
        <f>Deliveries!F66</f>
        <v/>
      </c>
      <c r="B67">
        <f>Deliveries!G66</f>
        <v/>
      </c>
    </row>
    <row r="68">
      <c r="A68">
        <f>Deliveries!F67</f>
        <v/>
      </c>
      <c r="B68">
        <f>Deliveries!G67</f>
        <v/>
      </c>
    </row>
    <row r="69">
      <c r="A69">
        <f>Deliveries!F68</f>
        <v/>
      </c>
      <c r="B69">
        <f>Deliveries!G68</f>
        <v/>
      </c>
    </row>
    <row r="70">
      <c r="A70">
        <f>Deliveries!F69</f>
        <v/>
      </c>
      <c r="B70">
        <f>Deliveries!G69</f>
        <v/>
      </c>
    </row>
    <row r="71">
      <c r="A71">
        <f>Deliveries!F70</f>
        <v/>
      </c>
      <c r="B71">
        <f>Deliveries!G70</f>
        <v/>
      </c>
    </row>
    <row r="72">
      <c r="A72">
        <f>Deliveries!F71</f>
        <v/>
      </c>
      <c r="B72">
        <f>Deliveries!G71</f>
        <v/>
      </c>
    </row>
    <row r="73">
      <c r="A73">
        <f>Deliveries!F72</f>
        <v/>
      </c>
      <c r="B73">
        <f>Deliveries!G72</f>
        <v/>
      </c>
    </row>
    <row r="74">
      <c r="A74">
        <f>Deliveries!F73</f>
        <v/>
      </c>
      <c r="B74">
        <f>Deliveries!G73</f>
        <v/>
      </c>
    </row>
    <row r="75">
      <c r="A75">
        <f>Deliveries!F74</f>
        <v/>
      </c>
      <c r="B75">
        <f>Deliveries!G74</f>
        <v/>
      </c>
    </row>
    <row r="76">
      <c r="A76">
        <f>Deliveries!F75</f>
        <v/>
      </c>
      <c r="B76">
        <f>Deliveries!G75</f>
        <v/>
      </c>
    </row>
    <row r="77">
      <c r="A77">
        <f>Deliveries!F76</f>
        <v/>
      </c>
      <c r="B77">
        <f>Deliveries!G76</f>
        <v/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32" customHeight="1">
      <c r="A1" s="24" t="inlineStr">
        <is>
          <t>Workbook 3 — Completed Interpretation and Findings</t>
        </is>
      </c>
    </row>
    <row r="3" ht="72" customHeight="1">
      <c r="A3" s="11" t="inlineStr">
        <is>
          <t>What does the data show?</t>
        </is>
      </c>
      <c r="B3" s="25" t="inlineStr">
        <is>
          <t>Mountain_Pass generates the highest revenue by a clear margin (approx 8,885 GP — roughly 32% of all revenue). Sky_Summit is second. Cavern_Run is the weakest route. Q3 (Jul–Sep) shows a visible rise in revenue across all routes. Luxury_Goods delivers the highest average revenue per delivery of any cargo category.</t>
        </is>
      </c>
    </row>
    <row r="4" ht="72" customHeight="1">
      <c r="A4" s="11" t="inlineStr">
        <is>
          <t>What does the data suggest?</t>
        </is>
      </c>
      <c r="B4" s="25" t="inlineStr">
        <is>
          <t>There is a positive relationship between cargo weight and flight time, suggesting heavier cargo generally takes longer to deliver. Flameheart makes more deliveries than any other dragon and appears particularly active on Mountain_Pass routes. Revenue peaks in Q3, which may indicate a seasonal pattern.</t>
        </is>
      </c>
    </row>
    <row r="5" ht="72" customHeight="1">
      <c r="A5" s="11" t="inlineStr">
        <is>
          <t>What does the data NOT prove?</t>
        </is>
      </c>
      <c r="B5" s="25" t="inlineStr">
        <is>
          <t>The data does not prove that cargo weight causes longer flight times — other unmeasured factors (weather, terrain, dragon fatigue) will also play a role. The dataset covers only January to September 2025; patterns beyond Q3 are unknown. The outlier DD037 (150 kg, 0.5 hrs) is unexplained from this data alone and should be verified.</t>
        </is>
      </c>
    </row>
    <row r="6" ht="72" customHeight="1">
      <c r="A6" s="11" t="inlineStr">
        <is>
          <t>Recommendation</t>
        </is>
      </c>
      <c r="B6" s="25" t="inlineStr">
        <is>
          <t>Prioritise Mountain_Pass Luxury_Goods deliveries for maximum revenue per trip. Investigate why Cavern_Run underperforms — is it the route difficulty, the cargo types allocated, or something else? Verify delivery record DD037 in the original dispatch logs.</t>
        </is>
      </c>
    </row>
    <row r="7" ht="72" customHeight="1">
      <c r="A7" s="11" t="inlineStr">
        <is>
          <t>Limitation / confidence issue</t>
        </is>
      </c>
      <c r="B7" s="25" t="inlineStr">
        <is>
          <t>A full 12-month dataset would increase confidence in the Q3 seasonal finding. The R-squared result (see below) indicates that cargo weight alone does not fully explain flight time variation. Additional data about weather conditions and route terrain would improve the model.</t>
        </is>
      </c>
    </row>
    <row r="8" ht="72" customHeight="1">
      <c r="A8" s="11" t="inlineStr">
        <is>
          <t>Trendline equation (y = mx + c)</t>
        </is>
      </c>
      <c r="B8" s="25" t="inlineStr">
        <is>
          <t>Your trendline equation will look approximately like:  y = 0.06x + 1.00
y = Flight time in hours  |  x = Cargo weight in kg
Slope (m) ≈ 0.06: for each extra kilogram of cargo, flight time increases by roughly 0.06 hours (about 3.6 minutes).
Intercept (c) ≈ 1.0: a near-zero-weight delivery would still take about 1 hour.
Important: the outlier DD037 (150 kg / 0.5 hrs) pulls the trendline. Your actual equation may look slightly different.</t>
        </is>
      </c>
    </row>
    <row r="9" ht="72" customHeight="1">
      <c r="A9" s="11" t="inlineStr">
        <is>
          <t>R squared — including the outlier</t>
        </is>
      </c>
      <c r="B9" s="25" t="inlineStr">
        <is>
          <t>With the outlier DD037 included: R² ≈ 0.42. This means cargo weight explains about 42% of the variation in flight time when DD037 is included.
Without the outlier: R² ≈ 0.67. This means cargo weight explains about 67% of variation when the unusual record is excluded.
Conclusion: the relationship between weight and flight time is moderate to strong — but the outlier is significant. This is an important finding worth mentioning in any report.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2026-05-04T10:01:42Z</dcterms:created>
  <dcterms:modified xmlns:dcterms="http://purl.org/dc/terms/" xmlns:xsi="http://www.w3.org/2001/XMLSchema-instance" xsi:type="dcterms:W3CDTF">2026-05-04T10:10:33Z</dcterms:modified>
</cp:coreProperties>
</file>