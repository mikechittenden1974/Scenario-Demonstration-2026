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Analysis_Ready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By_Session_Type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How_to_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  <font>
      <name val="Arial"/>
      <i val="1"/>
      <color rgb="00555555"/>
      <sz val="9"/>
    </font>
    <font>
      <name val="Arial"/>
      <b val="1"/>
      <color rgb="002E75B6"/>
      <sz val="14"/>
    </font>
    <font>
      <name val="Arial"/>
      <b val="1"/>
      <sz val="11"/>
    </font>
    <font>
      <name val="Arial"/>
      <b val="1"/>
      <color rgb="002E75B6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60" customWidth="1" min="2" max="2"/>
    <col width="15" customWidth="1" min="3" max="3"/>
  </cols>
  <sheetData>
    <row r="1">
      <c r="A1" s="3" t="inlineStr">
        <is>
          <t>Summary Statistics — Apex Sports Academy 2024</t>
        </is>
      </c>
    </row>
    <row r="3">
      <c r="A3" s="4" t="inlineStr">
        <is>
          <t>Metric</t>
        </is>
      </c>
      <c r="B3" s="4" t="inlineStr">
        <is>
          <t>Formula Used</t>
        </is>
      </c>
      <c r="C3" s="4" t="inlineStr">
        <is>
          <t>Result</t>
        </is>
      </c>
    </row>
    <row r="4">
      <c r="A4" s="2" t="inlineStr">
        <is>
          <t>Total Bookings</t>
        </is>
      </c>
      <c r="B4" s="5">
        <f>COUNTA(Bookings_Analysis_Ready!A2:A1000)-1</f>
        <v/>
      </c>
      <c r="C4" s="2" t="n">
        <v>121</v>
      </c>
    </row>
    <row r="5">
      <c r="A5" s="2" t="inlineStr">
        <is>
          <t>Total Attended</t>
        </is>
      </c>
      <c r="B5" s="5">
        <f>COUNTIF(Bookings_Analysis_Ready!H:H,"Attended")</f>
        <v/>
      </c>
      <c r="C5" s="2" t="inlineStr"/>
    </row>
    <row r="6">
      <c r="A6" s="2" t="inlineStr">
        <is>
          <t>Total No-Show</t>
        </is>
      </c>
      <c r="B6" s="5">
        <f>COUNTIF(Bookings_Analysis_Ready!H:H,"No-Show")</f>
        <v/>
      </c>
      <c r="C6" s="2" t="inlineStr"/>
    </row>
    <row r="7">
      <c r="A7" s="2" t="inlineStr">
        <is>
          <t>Total Cancelled</t>
        </is>
      </c>
      <c r="B7" s="5">
        <f>COUNTIF(Bookings_Analysis_Ready!H:H,"Cancelled")</f>
        <v/>
      </c>
      <c r="C7" s="2" t="inlineStr"/>
    </row>
    <row r="8">
      <c r="A8" s="2" t="inlineStr">
        <is>
          <t>Total Unknown</t>
        </is>
      </c>
      <c r="B8" s="5">
        <f>COUNTIF(Bookings_Analysis_Ready!H:H,"Unknown")</f>
        <v/>
      </c>
      <c r="C8" s="2" t="inlineStr"/>
    </row>
    <row r="9">
      <c r="A9" s="2" t="inlineStr">
        <is>
          <t>Total Revenue</t>
        </is>
      </c>
      <c r="B9" s="5">
        <f>SUMIF(Bookings_Analysis_Ready!H:H,"Attended",Bookings_Analysis_Ready!J:J)</f>
        <v/>
      </c>
      <c r="C9" s="2" t="inlineStr"/>
    </row>
    <row r="10">
      <c r="A10" s="2" t="inlineStr">
        <is>
          <t>Average Fee (Attended)</t>
        </is>
      </c>
      <c r="B10" s="5">
        <f>AVERAGEIF(Bookings_Analysis_Ready!H:H,"Attended",Bookings_Analysis_Ready!J:J)</f>
        <v/>
      </c>
      <c r="C10" s="2" t="inlineStr"/>
    </row>
    <row r="11">
      <c r="A11" s="2" t="inlineStr">
        <is>
          <t>Unique Members</t>
        </is>
      </c>
      <c r="B11" s="5">
        <f>SUMPRODUCT(1/COUNTIF(Bookings_Analysis_Ready!B2:B200,Bookings_Analysis_Ready!B2:B200))</f>
        <v/>
      </c>
      <c r="C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Bookings and Attendance by Session Type</t>
        </is>
      </c>
    </row>
    <row r="3">
      <c r="A3" s="6" t="inlineStr">
        <is>
          <t>Session Type</t>
        </is>
      </c>
      <c r="B3" s="6" t="inlineStr">
        <is>
          <t>Total Bookings</t>
        </is>
      </c>
      <c r="C3" s="6" t="inlineStr">
        <is>
          <t>Attended</t>
        </is>
      </c>
      <c r="D3" s="6" t="inlineStr">
        <is>
          <t>Attendance Rate</t>
        </is>
      </c>
      <c r="E3" s="6" t="inlineStr">
        <is>
          <t>Total Revenue</t>
        </is>
      </c>
    </row>
    <row r="4">
      <c r="A4" s="2" t="inlineStr">
        <is>
          <t>Boxing</t>
        </is>
      </c>
      <c r="B4" s="2" t="n">
        <v>23</v>
      </c>
      <c r="C4" s="2" t="n">
        <v>16</v>
      </c>
      <c r="D4" s="2" t="inlineStr">
        <is>
          <t>69.6%</t>
        </is>
      </c>
      <c r="E4" s="2" t="n">
        <v>240</v>
      </c>
    </row>
    <row r="5">
      <c r="A5" s="2" t="inlineStr">
        <is>
          <t>Pilates</t>
        </is>
      </c>
      <c r="B5" s="2" t="n">
        <v>24</v>
      </c>
      <c r="C5" s="2" t="n">
        <v>19</v>
      </c>
      <c r="D5" s="2" t="inlineStr">
        <is>
          <t>79.2%</t>
        </is>
      </c>
      <c r="E5" s="2" t="n">
        <v>228</v>
      </c>
    </row>
    <row r="6">
      <c r="A6" s="2" t="inlineStr">
        <is>
          <t>Spin</t>
        </is>
      </c>
      <c r="B6" s="2" t="n">
        <v>25</v>
      </c>
      <c r="C6" s="2" t="n">
        <v>20</v>
      </c>
      <c r="D6" s="2" t="inlineStr">
        <is>
          <t>80.0%</t>
        </is>
      </c>
      <c r="E6" s="2" t="n">
        <v>200</v>
      </c>
    </row>
    <row r="7">
      <c r="A7" s="2" t="inlineStr">
        <is>
          <t>Swim</t>
        </is>
      </c>
      <c r="B7" s="2" t="n">
        <v>24</v>
      </c>
      <c r="C7" s="2" t="n">
        <v>21</v>
      </c>
      <c r="D7" s="2" t="inlineStr">
        <is>
          <t>87.5%</t>
        </is>
      </c>
      <c r="E7" s="2" t="n">
        <v>168</v>
      </c>
    </row>
    <row r="8">
      <c r="A8" s="2" t="inlineStr">
        <is>
          <t>Yoga</t>
        </is>
      </c>
      <c r="B8" s="2" t="n">
        <v>25</v>
      </c>
      <c r="C8" s="2" t="n">
        <v>17</v>
      </c>
      <c r="D8" s="2" t="inlineStr">
        <is>
          <t>68.0%</t>
        </is>
      </c>
      <c r="E8" s="2" t="n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APEX SPORTS ACADEMY — 2024 ANALYSIS DASHBOARD</t>
        </is>
      </c>
    </row>
    <row r="3">
      <c r="A3" s="8" t="inlineStr">
        <is>
          <t>Key Metrics</t>
        </is>
      </c>
    </row>
    <row r="5">
      <c r="A5" s="2" t="inlineStr">
        <is>
          <t>Total Bookings</t>
        </is>
      </c>
      <c r="B5" s="2" t="n">
        <v>121</v>
      </c>
    </row>
    <row r="6">
      <c r="A6" s="2" t="inlineStr">
        <is>
          <t>Unique Members</t>
        </is>
      </c>
      <c r="B6" s="2" t="n">
        <v>9</v>
      </c>
    </row>
    <row r="7">
      <c r="A7" s="2" t="inlineStr">
        <is>
          <t>Session Types Offered</t>
        </is>
      </c>
      <c r="B7" s="2" t="n">
        <v>5</v>
      </c>
    </row>
    <row r="9">
      <c r="A9" s="2" t="inlineStr">
        <is>
          <t>Top Session (Bookings)</t>
        </is>
      </c>
      <c r="B9" s="2" t="inlineStr">
        <is>
          <t>Yoga</t>
        </is>
      </c>
    </row>
    <row r="10">
      <c r="A10" s="2" t="inlineStr">
        <is>
          <t>Highest Revenue Session</t>
        </is>
      </c>
      <c r="B10" s="2" t="inlineStr">
        <is>
          <t>Boxing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SD2_COMPLETE.xlsx — Final analysis output.</t>
        </is>
      </c>
    </row>
    <row r="5">
      <c r="A5" s="2" t="inlineStr">
        <is>
          <t>Includes: analysis-ready data, summary statistics, session analysis,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2026-05-03T15:46:17Z</dcterms:created>
  <dcterms:modified xmlns:dcterms="http://purl.org/dc/terms/" xmlns:xsi="http://www.w3.org/2001/XMLSchema-instance" xsi:type="dcterms:W3CDTF">2026-05-03T15:46:17Z</dcterms:modified>
</cp:coreProperties>
</file>